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JIA\Projects\ProjectX\EPC+\e+trace\"/>
    </mc:Choice>
  </mc:AlternateContent>
  <xr:revisionPtr revIDLastSave="0" documentId="10_ncr:100000_{017A1944-D881-407E-A297-909E9CE9C4D6}" xr6:coauthVersionLast="31" xr6:coauthVersionMax="31" xr10:uidLastSave="{00000000-0000-0000-0000-000000000000}"/>
  <bookViews>
    <workbookView xWindow="-3495" yWindow="-21135" windowWidth="38400" windowHeight="21135" tabRatio="500" xr2:uid="{00000000-000D-0000-FFFF-FFFF00000000}"/>
  </bookViews>
  <sheets>
    <sheet name="Sheet1" sheetId="1" r:id="rId1"/>
    <sheet name="_xlwings.conf" sheetId="2" r:id="rId2"/>
  </sheet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<sst xmlns="http://schemas.openxmlformats.org/spreadsheetml/2006/main" count="308" uniqueCount="186">
  <si>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</si>
  <si>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</si>
  <si>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</si>
  <si>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</si>
  <si>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</si>
  <si>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</si>
  <si>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</si>
  <si>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</si>
  <si>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</si>
  <si>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</si>
  <si>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</si>
  <si>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Hello World!</t>
  </si>
  <si>
    <t># of Zones</t>
  </si>
  <si>
    <t>Zone Name</t>
  </si>
  <si>
    <t>Zone_origin_x</t>
  </si>
  <si>
    <t>Zone_origin_y</t>
  </si>
  <si>
    <t>Zone_origin_z</t>
  </si>
  <si>
    <t>Perimeter Zone [y/n]</t>
  </si>
  <si>
    <t>Zone Area</t>
  </si>
  <si>
    <t>Zone Height</t>
  </si>
  <si>
    <t>Zone  Length</t>
  </si>
  <si>
    <t>Zone Width</t>
  </si>
  <si>
    <t>Perimeter 1 Normal (Leave empty if Core Zone)</t>
  </si>
  <si>
    <t>Perimeter 2 Normal (Leave empty if Core Zone)</t>
  </si>
  <si>
    <t>Roof [y/n]</t>
  </si>
  <si>
    <t>Ground Floor [y/n]</t>
  </si>
  <si>
    <t>Window to Wall Ratio</t>
  </si>
  <si>
    <t>Window Sill Height</t>
  </si>
  <si>
    <t>Space Type Name</t>
  </si>
  <si>
    <t>Space Type Schedules</t>
  </si>
  <si>
    <t>Occupancy</t>
  </si>
  <si>
    <t xml:space="preserve">Equipment </t>
  </si>
  <si>
    <t>Lighting</t>
  </si>
  <si>
    <t>Infiltration</t>
  </si>
  <si>
    <t>Outdoor Air</t>
  </si>
  <si>
    <t>DHW Peak Flow Rate</t>
  </si>
  <si>
    <t>DHW Setpoint</t>
  </si>
  <si>
    <t>Occupants Schedule</t>
  </si>
  <si>
    <t>Activity Schedule</t>
  </si>
  <si>
    <t>Equipment Schedule</t>
  </si>
  <si>
    <t>Lighting Schedule</t>
  </si>
  <si>
    <t>Infiltraition Schedule</t>
  </si>
  <si>
    <t>DHW Schedule</t>
  </si>
  <si>
    <t>Construction Template</t>
  </si>
  <si>
    <t>BGL1-VARAR-001</t>
  </si>
  <si>
    <t>n</t>
  </si>
  <si>
    <t>y</t>
  </si>
  <si>
    <t xml:space="preserve">Patient Room </t>
  </si>
  <si>
    <t>PATRM</t>
  </si>
  <si>
    <t xml:space="preserve">People,
    PATRM People, 
    PATRM,
    PATRM People Sch, 
    Area/Person, 
    ,                        
    0.1076, 
    9.2936802974,
    0.3,
    ,    
    PATRM Activity Sch; </t>
  </si>
  <si>
    <t xml:space="preserve">ElectricEquipment,
    PATRM Equipment,      
    PATRM,                
    PATRM Equipment Sch,   
    Watts/Area,       
    ,                      
    21.52,                 
    ,                      
    0.0,                    
    0.0,                     
    0.02;                    </t>
  </si>
  <si>
    <t xml:space="preserve">Lights,
    PATRM Lights,        
    PATRM,                
    PATRM Lighting Sch,      
    Watts/Area,              
    ,                       
    7.532,                  
    ,                       
    0.0,                   
    0.0,                    
    0.0,                    
    1.0;                   </t>
  </si>
  <si>
    <t xml:space="preserve">ZoneInfiltration:DesignFlowRate,
   PATRM Infiltration,  
    PATRM,          
    Infiltration Sch,        
    Flow/ExteriorWallArea, 
    ,                      
    ,                        
    0.0002539077012,       
    ,                       
    0.606,                 
    0.03635,                 
    0.11771,               
    0.0;                   </t>
  </si>
  <si>
    <t>Through: 12/31,
    For: Weekdays,
    Until: 05:00,0.0,
    Until: 07:00,0.1,
    Until: 08:00,0.3,
    Until: 12:00,0.95,
    Until: 13:00,0.5,
    Until: 17:00,0.95,
    Until: 18:00,0.3,
    Until: 24:00,0.0,
    For: SummerDesignDay,
    Until: 06:00,0.0,
    Until: 22:00,1.0,
    Until: 24:00,0.05,
    For: WinterDesignDay,
    Until: 06:00,0.0,
    Until: 08:00,0.1,
    Until: 12:00,0.3,
    Until: 17:00,0.1,
    Until: 19:00,0.05,
    Until: 24:00,0.0,
    For: Saturday Sunday Holidays AllOtherDays,
    Until: 24:00,0.0;</t>
  </si>
  <si>
    <t xml:space="preserve">    Through: 12/31,
    For: Weekdays SummerDesignDay,
    Until: 08:00,0.30,
    Until: 12:00,0.90,
    Until: 13:00,0.80,
    Until: 17:00,0.90,
    Until: 18:00,0.50,
    Until: 24:00,0.30,
    For: WinterDesignDay,
    Until: 06:00,0.30,
    Until: 08:00,0.4,
    Until: 12:00,0.5,
    Until: 17:00,0.35,
    Until: 24:00,0.30,
    For: Saturday Sunday Holidays AllOtherDays,
    Until: 24:00,0.30;</t>
  </si>
  <si>
    <t xml:space="preserve">    Through: 12/31,
    For: Weekdays SummerDesignDay,
    Until: 05:00,0.05,
    Until: 07:00,0.1,
    Until: 08:00,0.3,
    Until: 17:00,0.9,
    Until: 18:00,0.5,
    Until: 20:00,0.3,
    Until: 22:00,0.2,
    Until: 23:00,0.1,
    Until: 24:00,0.05,
    For: WinterDesignDay,
    Until: 06:00,0.05,
    Until: 08:00,0.1,
    Until: 12:00,0.3,
    Until: 17:00,0.15,
    Until: 24:00,0.05,
    For: Saturday Sunday Holidays AllOtherDays,
    Until: 24:00,0.05;</t>
  </si>
  <si>
    <t xml:space="preserve">    Through: 12/31,
    For: AllDays,
    Until: 24:00, 1.0;</t>
  </si>
  <si>
    <t xml:space="preserve">    Through: 12/31,
    For: AllDays,
    Until: 06:00, 0,
    Until: 07:00, 0.05,
    Until: 08:00, 0.2,
    Until: 09:00, 0.1,
    Until: 18:00, 0,
    Until: 21:00, 0.05,
    Until: 24:00, 0;</t>
  </si>
  <si>
    <t>ASHRAE 90.1 2010 Climate Zone 5</t>
  </si>
  <si>
    <t>ASHRAE 90.1 2010 Climate Zone 1</t>
  </si>
  <si>
    <t>BGL1-SUPPT-002</t>
  </si>
  <si>
    <t>Patient Room Support</t>
  </si>
  <si>
    <t>PATSP</t>
  </si>
  <si>
    <t>People,
    PATSP People,  
    PATSP,   
    PATSP People Sch,        !- Number of People Schedule Name
    Area/Person,             !- Number of People Calculation Method
    ,                        !- Number of People
    0.001076,                !- People per Zone Floor Area {person/m2}
    929.36802974,            !- Zone Floor Area per Person {m2/person}
    0.3,                     !- Fraction Radiant
    ,                        !- Sensible Heat Fraction
    PATSP Activity Sch;      !- Activity Level Schedule Name</t>
  </si>
  <si>
    <t xml:space="preserve">ElectricEquipment,
    PATSP Equipment,      
    PATSP,                  
    PATSP Equipment Sch,     
    Watts/Area,             
    ,                        
    10.76,                 
    ,                       
    0.0,                  
    0.0,                  
    0.02;                   </t>
  </si>
  <si>
    <t xml:space="preserve">Lights,
    PATSP Lights,           
    PATSP,                 
    PATSP Lighting Sch,      
    Watts/Area,       
    ,                       
    5.38,                 
    ,                    
    0.0,                 
    0.0,                    
    0.0,                  
    1.0;               </t>
  </si>
  <si>
    <t xml:space="preserve">ZoneInfiltration:DesignFlowRate,
   PATSP Infiltration,  
    PATSP,          
    Infiltration Sch,        
    Flow/ExteriorWallArea, 
    ,                      
    ,                        
    0.0002539077012,       
    ,                       
    0.606,                 
    0.03635,                 
    0.11771,               
    0.0; </t>
  </si>
  <si>
    <t>ASHRAE 90.1 2010 Climate Zone 2</t>
  </si>
  <si>
    <t>BGL1-IMAGE-003</t>
  </si>
  <si>
    <t xml:space="preserve">Lobby/Corrdors </t>
  </si>
  <si>
    <t>PUBLC</t>
  </si>
  <si>
    <t xml:space="preserve">People,
    PUBLC People,      
    PUBLC,                
    PUBLC People Sch,       
    Area/Person,            
    ,                        
    0.1076,                 
    9.2936802974,       
    0.3,                    
    ,                      
    PUBLC Activity Sch;     </t>
  </si>
  <si>
    <t xml:space="preserve">ElectricEquipment,
    PUBLC Equipment,        
    PUBLC,                   
    PUBLC Equipment Sch,    
    Watts/Area,             
    ,                        
    10.76,                   
    ,                      
    0.0,                    
    0.0,                     
    0.02;                  </t>
  </si>
  <si>
    <t xml:space="preserve">Lights,
    PUBLC Lights,   
    PUBLC,               
    PUBLC Lighting Sch,   
    Watts/Area,            
    ,                        
    13.988,                 
    ,                
    0.0,             
    0.0,                
    0.0,                     
    1.0;                 </t>
  </si>
  <si>
    <t xml:space="preserve">ZoneInfiltration:DesignFlowRate,
   PUBLC Infiltration,  
    PUBLC,          
    Infiltration Sch,        
    Flow/ExteriorWallArea, 
    ,                      
    ,                        
    0.0002539077012,       
    ,                       
    0.606,                 
    0.03635,                 
    0.11771,               
    0.0; </t>
  </si>
  <si>
    <t>ASHRAE 90.1 2010 Climate Zone 3</t>
  </si>
  <si>
    <t>AGL1-IMAGE-004</t>
  </si>
  <si>
    <t>Building Service</t>
  </si>
  <si>
    <t>BLDSV</t>
  </si>
  <si>
    <t xml:space="preserve">People,
    BLDSV People,       
    BLDSV,               
    BLDSV People Sch,      
    Area/Person,          
    ,                    
    0.0323123123123,      
    30.9479553903,     
    0.3,                    
    ,                   
    BLDSV Activity Sch;     </t>
  </si>
  <si>
    <t xml:space="preserve">ElectricEquipment,
    BLDSV Equipment,        
    BLDSV,                 
    BLDSV Equipment Sch,  
    Watts/Area,             
    ,                      
    21.52,                  
    ,                      
    0.0,                    
    0.0,                   
    0.02;                  </t>
  </si>
  <si>
    <t xml:space="preserve">Lights,
    BLDSV Lights,        
    BLDSV,                  
    BLDSV Lighting Sch,     
    Watts/Area,            
    ,                      
    7.7472,                  
    ,                      
    0.0,                    
    0.0,                  
    0.0,                     
    1.0;                 </t>
  </si>
  <si>
    <t xml:space="preserve">ZoneInfiltration:DesignFlowRate,
   BLDSV Infiltration,  
    BLDSV,          
    Infiltration Sch,        
    Flow/ExteriorWallArea, 
    ,                      
    ,                        
    0.0002539077012,       
    ,                       
    0.606,                 
    0.03635,                 
    0.11771,               
    0.0; </t>
  </si>
  <si>
    <t>ASHRAE 90.1 2010 Climate Zone 4</t>
  </si>
  <si>
    <t>AGL1-PUBLC-005</t>
  </si>
  <si>
    <t>Mechanical Room</t>
  </si>
  <si>
    <t>MECHE</t>
  </si>
  <si>
    <t xml:space="preserve">People,
    MECHE People,       
    MECHE,                 
    MECHE People Sch,      
    Area/Person,            
    ,                      
    0.001076,          
    929.36802974,     
    0.3,                   
    ,                     
    MECHE Activity Sch;     </t>
  </si>
  <si>
    <t xml:space="preserve">ElectricEquipment,
    MECHE Equipment,       
    MECHE,                 
    MECHE Equipment Sch,  
    Watts/Area,            
    ,                        
    86.08,                
    ,                        
    0.0,                    
    0.0,                     
    0.02;                 </t>
  </si>
  <si>
    <t xml:space="preserve">Lights,
    MECHE Lights,       
    MECHE,             
    MECHE Lighting Sch,   
    Watts/Area,           
    ,                       
    10.76,                
    ,                    
    0.0,                 
    0.0,                 
    0.0,                   
    1.0;                </t>
  </si>
  <si>
    <t xml:space="preserve">ZoneInfiltration:DesignFlowRate,
  MECHE Infiltration,  
    MECHE,          
    Infiltration Sch,        
    Flow/ExteriorWallArea, 
    ,                      
    ,                        
    0.0002539077012,       
    ,                       
    0.606,                 
    0.03635,                 
    0.11771,               
    0.0; </t>
  </si>
  <si>
    <t>AGL1-SUPPT-006</t>
  </si>
  <si>
    <t xml:space="preserve">Radiology </t>
  </si>
  <si>
    <t>RADIO</t>
  </si>
  <si>
    <t xml:space="preserve">People,
    RADIO People,           
    RADIO,                  
    RADIO People Sch,        
    Area/Person,             
    ,                       
    0.1076,                 
    9.2936802974,          
    0.3,                  
    ,                     
    RADIO Activity Sch; </t>
  </si>
  <si>
    <t xml:space="preserve">ElectricEquipment,
    RADIO Equipment,       
    RADIO,                 
    RADIO Equipment Sch,   
    Watts/Area,              
    ,                        
    129.12,                
    ,                      
    0.0,                  
    0.0,                 
    0.02;                    </t>
  </si>
  <si>
    <t xml:space="preserve">Lights,
    RADIO Lights,            
    RADIO,                 
    RADIO Lighting Sch,      
    Watts/Area,             
    ,                     
    2.152,                  
    ,                       
    0.0,                    
    0.0,                  
    0.0,                    
    1.0;                    </t>
  </si>
  <si>
    <t xml:space="preserve">ZoneInfiltration:DesignFlowRate,
  RADIO Infiltration,  
    RADIO,          
    Infiltration Sch,        
    Flow/ExteriorWallArea, 
    ,                      
    ,                        
    0.0002539077012,       
    ,                       
    0.606,                 
    0.03635,                 
    0.11771,               
    0.0; </t>
  </si>
  <si>
    <t>ASHRAE 90.1 2010 Climate Zone 6</t>
  </si>
  <si>
    <t>AGL1-CAFET-007</t>
  </si>
  <si>
    <t xml:space="preserve">Storage </t>
  </si>
  <si>
    <t>STORG</t>
  </si>
  <si>
    <t>People,
    STORG People,        
    STORG,                 
    STORG People Sch,       
    Area/Person,            
    ,                      
    0.0323123123123,       
    30.9479553903,        
    0.3,                   
    ,                     
    STORG Activity Sch;</t>
  </si>
  <si>
    <t xml:space="preserve">ElectricEquipment,
    STORG Equipment,         
    STORG,                  
    STORG Equipment Sch,   
    Watts/Area,         
    ,                       
    2.152,                 
    ,                       
    0.0,                   
    0.0,                    
    0.02;                   </t>
  </si>
  <si>
    <t xml:space="preserve">Lights,
    STORG Lights,        
    STORG,               
    STORG Lighting Sch,    
    Watts/Area,            
    ,                      
    9.684,                 
    ,                    
    0.0,                  
    0.0,                    
    0.0,                   
    1.0;                     </t>
  </si>
  <si>
    <t xml:space="preserve">ZoneInfiltration:DesignFlowRate,
  STORG Infiltration,  
   STORG,          
    Infiltration Sch,        
    Flow/ExteriorWallArea, 
    ,                      
    ,                        
    0.0002539077012,       
    ,                       
    0.606,                 
    0.03635,                 
    0.11771,               
    0.0; </t>
  </si>
  <si>
    <t>ASHRAE 90.1 2010 Climate Zone 7</t>
  </si>
  <si>
    <t>AGL1-CONFE-008</t>
  </si>
  <si>
    <t xml:space="preserve">Office </t>
  </si>
  <si>
    <t>OFFCP</t>
  </si>
  <si>
    <t>People,
    OFFCP People,    
    OFFCP,                
    OFFCP People Sch,       
    Area/Person,             
    ,                       
    0.1076,                 
    9.2936802974,          
    0.3,                  
    ,                     
    OFFCP Activity Sch;</t>
  </si>
  <si>
    <t xml:space="preserve">ElectricEquipment,
    OFFCP Equipment,         
    OFFCP,                  
    OFFCP Equipment Sch,   
    Watts/Area,             
    ,                       
    10.76,                  
    ,                       
    0.0,                  
    0.0,                    
    0.02;                   </t>
  </si>
  <si>
    <t xml:space="preserve">Lights,
    OFFCP Lights,        
    OFFCP,                  
    OFFCP Lighting Sch,    
    Watts/Area,              
    ,                      
    11.836,                 
    ,                       
    0.0,                   
    0.0,                   
    0.0,                    
    1.0;                   </t>
  </si>
  <si>
    <t xml:space="preserve">ZoneInfiltration:DesignFlowRate,
   OFFCP Infiltration,  
    OFFCP,          
    Infiltration Sch,        
    Flow/ExteriorWallArea, 
    ,                      
    ,                        
    0.0002539077012,       
    ,                       
    0.606,                 
    0.03635,                 
    0.11771,               
    0.0; </t>
  </si>
  <si>
    <t>ASHRAE 90.1 2010 Climate Zone 8</t>
  </si>
  <si>
    <t>AGL2-CLNCL-009</t>
  </si>
  <si>
    <t xml:space="preserve">Operation Room </t>
  </si>
  <si>
    <t>OPTRM</t>
  </si>
  <si>
    <t xml:space="preserve">People,
    OPTRM People,      
    OPTRM,                  
    OPTRM People Sch,     
    Area/Person,          
    ,                        
    0.1076,                
    9.2936802974,         
    0.3,                 
    ,                      
    OPTRM Activity Sch; </t>
  </si>
  <si>
    <t xml:space="preserve">ElectricEquipment,
    OPTRM Equipment,         
    OPTRM,                   
    OPTRM Equipment Sch,     
    Watts/Area,              
    ,                        
    129.12,                  
    ,                      
    0.0,                     
    0.0,                  
    0.02;                  </t>
  </si>
  <si>
    <t xml:space="preserve">Lights,
    OPTRM Lights,          
    OPTRM,                  
    OPTRM Lighting Sch,   
    Watts/Area,              
    ,                        
    23.672,                  
    ,                        
    0.0,                    
    0.0,                    
    0.0,                   
    1.0;                     </t>
  </si>
  <si>
    <t xml:space="preserve">ZoneInfiltration:DesignFlowRate,
   OPTRM Infiltration,  
    OPTRM,          
    Infiltration Sch,        
    Flow/ExteriorWallArea, 
    ,                      
    ,                        
    0.0002539077012,       
    ,                       
    0.606,                 
    0.03635,                 
    0.11771,               
    0.0; </t>
  </si>
  <si>
    <t>AGL2-GYMNA-010</t>
  </si>
  <si>
    <t>AGL2-CONFE-011</t>
  </si>
  <si>
    <t>AGL2-OFFEN-012</t>
  </si>
  <si>
    <t>AGL2-PUBLC-013</t>
  </si>
  <si>
    <t>AGL3-OFFEN-014</t>
  </si>
  <si>
    <t>AGL3-OFFEN-015</t>
  </si>
  <si>
    <t>ElectricEquipment,</t>
  </si>
  <si>
    <t>Lights,</t>
  </si>
  <si>
    <t>ZoneInfiltration:DesignFlowRate,</t>
  </si>
  <si>
    <t>AGL3-OFFEN-016</t>
  </si>
  <si>
    <t xml:space="preserve">    PUBLC Equipment,         !- Name</t>
  </si>
  <si>
    <t xml:space="preserve">    PATRM Lights,            !- Name</t>
  </si>
  <si>
    <t xml:space="preserve">    AGL0-PATRM-052 Infiltration,  !- Name</t>
  </si>
  <si>
    <t>AGL3-OFFEN-017</t>
  </si>
  <si>
    <t xml:space="preserve">    PUBLC,                   !- Zone or ZoneList Name</t>
  </si>
  <si>
    <t xml:space="preserve">    PATRM,                   !- Zone or ZoneList Name</t>
  </si>
  <si>
    <t xml:space="preserve">    AGL0-PATRM-052,          !- Zone or ZoneList Name</t>
  </si>
  <si>
    <t>AGL3-SUPPT-018</t>
  </si>
  <si>
    <t xml:space="preserve">    PUBLC Equipment Sch,     !- Schedule Name</t>
  </si>
  <si>
    <t xml:space="preserve">    PATRM Lighting Sch,      !- Schedule Name</t>
  </si>
  <si>
    <t xml:space="preserve">    Infiltration Sch,        !- Schedule Name</t>
  </si>
  <si>
    <t>AGL3-PUBLC-019</t>
  </si>
  <si>
    <t xml:space="preserve">    Watts/Area,              !- Design Level Calculation Method</t>
  </si>
  <si>
    <t xml:space="preserve">    Flow/ExteriorWallArea,   !- Design Flow Rate Calculation Method</t>
  </si>
  <si>
    <t>AGL4-WELAB-020</t>
  </si>
  <si>
    <t xml:space="preserve">    ,                        !- Design Level {W}</t>
  </si>
  <si>
    <t xml:space="preserve">    ,                        !- Lighting Level {W}</t>
  </si>
  <si>
    <t xml:space="preserve">    ,                        !- Design Flow Rate {m3/s}</t>
  </si>
  <si>
    <t>AGL4-OFFEN-021</t>
  </si>
  <si>
    <t xml:space="preserve">    10.76,                   !- Watts per Zone Floor Area {W/m2}</t>
  </si>
  <si>
    <t xml:space="preserve">    7.532,                   !- Watts per Zone Floor Area {W/m2}</t>
  </si>
  <si>
    <t xml:space="preserve">    ,                        !- Flow per Zone Floor Area {m3/s-m2}</t>
  </si>
  <si>
    <t>AGL4-OFFEN-022</t>
  </si>
  <si>
    <t xml:space="preserve">    ,                        !- Watts per Person {W/person}</t>
  </si>
  <si>
    <t xml:space="preserve">    0.0002539077012,         !- Flow per Exterior Surface Area {m3/s-m2}</t>
  </si>
  <si>
    <t>AGL4-OFFEN-023</t>
  </si>
  <si>
    <t xml:space="preserve">    0.0,                     !- Fraction Latent</t>
  </si>
  <si>
    <t xml:space="preserve">    0.0,                     !- Return Air Fraction</t>
  </si>
  <si>
    <t xml:space="preserve">    ,                        !- Air Changes per Hour {1/hr}</t>
  </si>
  <si>
    <t>AGL4-SUPPT-024</t>
  </si>
  <si>
    <t xml:space="preserve">    0.0,                     !- Fraction Radiant</t>
  </si>
  <si>
    <t xml:space="preserve">    0.606,                   !- Constant Term Coefficient</t>
  </si>
  <si>
    <t>AGL4-PUBLC-025</t>
  </si>
  <si>
    <t xml:space="preserve">    0.02;                    !- Fraction Lost</t>
  </si>
  <si>
    <t xml:space="preserve">    0.0,                     !- Fraction Visible</t>
  </si>
  <si>
    <t xml:space="preserve">    0.03635,                 !- Temperature Term Coefficient</t>
  </si>
  <si>
    <t>AGL5-WELAB-026</t>
  </si>
  <si>
    <t xml:space="preserve">    1.0;                     !- Fraction Replaceable</t>
  </si>
  <si>
    <t xml:space="preserve">    0.11771,                 !- Velocity Term Coefficient</t>
  </si>
  <si>
    <t>AGL5-OFFEN-027</t>
  </si>
  <si>
    <t xml:space="preserve">    0.0;                     !- Velocity Squared Term Coefficient</t>
  </si>
  <si>
    <t>AGL5-OFFEN-028</t>
  </si>
  <si>
    <t>AGL5-OFFEN-029</t>
  </si>
  <si>
    <t>AGL5-SUPPT-030</t>
  </si>
  <si>
    <t>AGL5-PUBLC-031</t>
  </si>
  <si>
    <t>AGL6-WELAB-032</t>
  </si>
  <si>
    <t>AGL6-OFFEN-033</t>
  </si>
  <si>
    <t>AGL6-OFFEN-034</t>
  </si>
  <si>
    <t>AGL6-OFFEN-035</t>
  </si>
  <si>
    <t>AGL6-SUPPT-036</t>
  </si>
  <si>
    <t>AGL6-PUBLC-037</t>
  </si>
  <si>
    <t>ABL7-SUPPT-038</t>
  </si>
  <si>
    <t>ABL7-CONFE-039</t>
  </si>
  <si>
    <t>ABL7-PUBLC-040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</si>
</sst>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left" vertical="center" wrapText="1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164" fontId="3" fillId="0" borderId="10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Border="1" applyAlignment="1">
      <alignment vertical="center"/>
    </xf>
    <xf numFmtId="0" fontId="5" fillId="3" borderId="0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6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1" xfId="0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206"/>
  <sheetViews>
    <sheetView tabSelected="1" workbookViewId="0">
      <selection activeCell="C4" sqref="C4"/>
    </sheetView>
  </sheetViews>
  <sheetFormatPr defaultColWidth="11" defaultRowHeight="15.75" x14ac:dyDescent="0.25"/>
  <cols>
    <col min="16" max="16" width="13.875" bestFit="1" customWidth="1"/>
  </cols>
  <sheetData>
    <row r="1" spans="1:55" x14ac:dyDescent="0.25">
      <c r="A1" t="s">
        <v>11</v>
      </c>
    </row>
    <row r="6" spans="1:55" s="15" customFormat="1" ht="59.25" customHeight="1" x14ac:dyDescent="0.25">
      <c r="A6" s="2" t="s">
        <v>12</v>
      </c>
      <c r="B6" s="3" t="s">
        <v>13</v>
      </c>
      <c r="C6" s="2" t="s">
        <v>14</v>
      </c>
      <c r="D6" s="2" t="s">
        <v>15</v>
      </c>
      <c r="E6" s="2" t="s">
        <v>16</v>
      </c>
      <c r="F6" s="2" t="s">
        <v>17</v>
      </c>
      <c r="G6" s="2" t="s">
        <v>18</v>
      </c>
      <c r="H6" s="2" t="s">
        <v>19</v>
      </c>
      <c r="I6" s="2" t="s">
        <v>20</v>
      </c>
      <c r="J6" s="4" t="s">
        <v>21</v>
      </c>
      <c r="K6" s="5" t="s">
        <v>22</v>
      </c>
      <c r="L6" s="5" t="s">
        <v>23</v>
      </c>
      <c r="M6" s="2" t="s">
        <v>24</v>
      </c>
      <c r="N6" s="2" t="s">
        <v>25</v>
      </c>
      <c r="O6" s="6" t="s">
        <v>26</v>
      </c>
      <c r="P6" s="2" t="s">
        <v>27</v>
      </c>
      <c r="Q6" s="7"/>
      <c r="R6" s="8" t="s">
        <v>28</v>
      </c>
      <c r="S6" s="9" t="s">
        <v>29</v>
      </c>
      <c r="T6" s="10" t="s">
        <v>30</v>
      </c>
      <c r="U6" s="10" t="s">
        <v>31</v>
      </c>
      <c r="V6" s="10" t="s">
        <v>32</v>
      </c>
      <c r="W6" s="10" t="s">
        <v>33</v>
      </c>
      <c r="X6" s="10" t="s">
        <v>34</v>
      </c>
      <c r="Y6" s="10" t="s">
        <v>35</v>
      </c>
      <c r="Z6" s="10" t="s">
        <v>36</v>
      </c>
      <c r="AA6" s="10" t="s">
        <v>37</v>
      </c>
      <c r="AB6" s="10" t="s">
        <v>38</v>
      </c>
      <c r="AC6" s="10" t="s">
        <v>39</v>
      </c>
      <c r="AD6" s="10" t="s">
        <v>40</v>
      </c>
      <c r="AE6" s="10" t="s">
        <v>41</v>
      </c>
      <c r="AF6" s="10" t="s">
        <v>42</v>
      </c>
      <c r="AG6" s="10"/>
      <c r="AH6" s="10"/>
      <c r="AI6" s="10"/>
      <c r="AJ6" s="10"/>
      <c r="AK6" s="10"/>
      <c r="AL6" s="11"/>
      <c r="AM6" s="7"/>
      <c r="AN6" s="12" t="s">
        <v>43</v>
      </c>
      <c r="AO6" s="13"/>
      <c r="AP6" s="13"/>
      <c r="AQ6" s="13"/>
      <c r="AR6" s="14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</row>
    <row r="7" spans="1:55" s="33" customFormat="1" ht="20.100000000000001" customHeight="1" x14ac:dyDescent="0.25">
      <c r="A7" s="16">
        <f>COUNTA(B7:B206)</f>
        <v>40</v>
      </c>
      <c r="B7" s="17" t="s">
        <v>44</v>
      </c>
      <c r="C7" s="18">
        <v>0</v>
      </c>
      <c r="D7" s="19">
        <v>0</v>
      </c>
      <c r="E7" s="19">
        <v>0</v>
      </c>
      <c r="F7" s="20" t="s">
        <v>45</v>
      </c>
      <c r="G7" s="21">
        <v>2836.1440051199997</v>
      </c>
      <c r="H7" s="19">
        <v>7.0103999999999997</v>
      </c>
      <c r="I7" s="22">
        <v>47.244</v>
      </c>
      <c r="J7" s="23">
        <v>60.031834838709678</v>
      </c>
      <c r="K7" s="18"/>
      <c r="L7" s="19"/>
      <c r="M7" s="19" t="s">
        <v>45</v>
      </c>
      <c r="N7" s="19" t="s">
        <v>46</v>
      </c>
      <c r="O7" s="19">
        <v>0.9</v>
      </c>
      <c r="P7" s="19">
        <v>0.30480000000000002</v>
      </c>
      <c r="Q7" s="24"/>
      <c r="R7" s="25" t="s">
        <v>47</v>
      </c>
      <c r="S7" s="25" t="s">
        <v>48</v>
      </c>
      <c r="T7" s="26" t="s">
        <v>49</v>
      </c>
      <c r="U7" s="27" t="s">
        <v>50</v>
      </c>
      <c r="V7" s="27" t="s">
        <v>51</v>
      </c>
      <c r="W7" s="27" t="s">
        <v>52</v>
      </c>
      <c r="X7" s="28"/>
      <c r="Y7" s="28"/>
      <c r="Z7" s="28"/>
      <c r="AA7" s="29" t="s">
        <v>53</v>
      </c>
      <c r="AB7" s="29"/>
      <c r="AC7" s="29" t="s">
        <v>54</v>
      </c>
      <c r="AD7" s="29" t="s">
        <v>55</v>
      </c>
      <c r="AE7" s="29" t="s">
        <v>56</v>
      </c>
      <c r="AF7" s="29" t="s">
        <v>57</v>
      </c>
      <c r="AG7" s="28"/>
      <c r="AH7" s="28"/>
      <c r="AI7" s="28"/>
      <c r="AJ7" s="28"/>
      <c r="AK7" s="28"/>
      <c r="AL7" s="28"/>
      <c r="AM7" s="24"/>
      <c r="AN7" s="30" t="s">
        <v>58</v>
      </c>
      <c r="AO7" s="31" t="s">
        <v>59</v>
      </c>
      <c r="AP7" s="31"/>
      <c r="AQ7" s="32"/>
      <c r="AR7" s="28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</row>
    <row r="8" spans="1:55" s="33" customFormat="1" ht="20.100000000000001" customHeight="1" x14ac:dyDescent="0.25">
      <c r="A8" s="34"/>
      <c r="B8" s="35" t="s">
        <v>60</v>
      </c>
      <c r="C8" s="36">
        <v>152.4</v>
      </c>
      <c r="D8" s="19">
        <v>0</v>
      </c>
      <c r="E8" s="19">
        <v>0</v>
      </c>
      <c r="F8" s="37" t="s">
        <v>45</v>
      </c>
      <c r="G8" s="38">
        <v>677.26316159999999</v>
      </c>
      <c r="H8" s="39">
        <v>7.0103999999999997</v>
      </c>
      <c r="I8" s="40">
        <v>9.6190129870129866</v>
      </c>
      <c r="J8" s="41">
        <v>70.408799999999999</v>
      </c>
      <c r="K8" s="42"/>
      <c r="L8" s="39"/>
      <c r="M8" s="39" t="s">
        <v>45</v>
      </c>
      <c r="N8" s="39" t="s">
        <v>46</v>
      </c>
      <c r="O8" s="39">
        <v>0.9</v>
      </c>
      <c r="P8" s="39">
        <v>0.30480000000000002</v>
      </c>
      <c r="Q8" s="24"/>
      <c r="R8" s="25" t="s">
        <v>61</v>
      </c>
      <c r="S8" s="25" t="s">
        <v>62</v>
      </c>
      <c r="T8" s="26" t="s">
        <v>63</v>
      </c>
      <c r="U8" s="27" t="s">
        <v>64</v>
      </c>
      <c r="V8" s="27" t="s">
        <v>65</v>
      </c>
      <c r="W8" s="27" t="s">
        <v>66</v>
      </c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4"/>
      <c r="AN8" s="43"/>
      <c r="AO8" s="44" t="s">
        <v>67</v>
      </c>
      <c r="AP8" s="45"/>
      <c r="AQ8" s="45"/>
      <c r="AR8" s="43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</row>
    <row r="9" spans="1:55" s="33" customFormat="1" ht="20.100000000000001" customHeight="1" x14ac:dyDescent="0.25">
      <c r="A9" s="34"/>
      <c r="B9" s="35" t="s">
        <v>68</v>
      </c>
      <c r="C9" s="36">
        <v>304.8</v>
      </c>
      <c r="D9" s="19">
        <v>0</v>
      </c>
      <c r="E9" s="19">
        <v>0</v>
      </c>
      <c r="F9" s="39" t="s">
        <v>45</v>
      </c>
      <c r="G9" s="38">
        <v>1620.3869527680001</v>
      </c>
      <c r="H9" s="39">
        <v>7.0103999999999997</v>
      </c>
      <c r="I9" s="40">
        <v>53.644799999999996</v>
      </c>
      <c r="J9" s="41">
        <v>30.205853181818181</v>
      </c>
      <c r="K9" s="42"/>
      <c r="L9" s="39"/>
      <c r="M9" s="39" t="s">
        <v>45</v>
      </c>
      <c r="N9" s="39" t="s">
        <v>46</v>
      </c>
      <c r="O9" s="39">
        <v>0.9</v>
      </c>
      <c r="P9" s="39">
        <v>0.30480000000000002</v>
      </c>
      <c r="Q9" s="24"/>
      <c r="R9" s="25" t="s">
        <v>69</v>
      </c>
      <c r="S9" s="25" t="s">
        <v>70</v>
      </c>
      <c r="T9" s="26" t="s">
        <v>71</v>
      </c>
      <c r="U9" s="27" t="s">
        <v>72</v>
      </c>
      <c r="V9" s="27" t="s">
        <v>73</v>
      </c>
      <c r="W9" s="27" t="s">
        <v>74</v>
      </c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4"/>
      <c r="AN9" s="43"/>
      <c r="AO9" s="44" t="s">
        <v>75</v>
      </c>
      <c r="AP9" s="45"/>
      <c r="AQ9" s="45"/>
      <c r="AR9" s="43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</row>
    <row r="10" spans="1:55" s="33" customFormat="1" ht="20.100000000000001" customHeight="1" x14ac:dyDescent="0.25">
      <c r="A10" s="46"/>
      <c r="B10" s="35" t="s">
        <v>76</v>
      </c>
      <c r="C10" s="41">
        <v>457.2</v>
      </c>
      <c r="D10" s="19">
        <v>0</v>
      </c>
      <c r="E10" s="19">
        <v>0</v>
      </c>
      <c r="F10" s="33" t="s">
        <v>46</v>
      </c>
      <c r="G10" s="38">
        <v>907.30037894400016</v>
      </c>
      <c r="H10" s="39">
        <v>5.4863999999999997</v>
      </c>
      <c r="I10" s="40">
        <v>42.976799999999997</v>
      </c>
      <c r="J10" s="41">
        <v>21.111399148936172</v>
      </c>
      <c r="K10" s="42">
        <v>180</v>
      </c>
      <c r="L10" s="39">
        <v>270</v>
      </c>
      <c r="M10" s="39" t="s">
        <v>45</v>
      </c>
      <c r="N10" s="39" t="s">
        <v>45</v>
      </c>
      <c r="O10" s="39">
        <v>0.9</v>
      </c>
      <c r="P10" s="39">
        <v>0.30480000000000002</v>
      </c>
      <c r="Q10" s="24"/>
      <c r="R10" s="25" t="s">
        <v>77</v>
      </c>
      <c r="S10" s="25" t="s">
        <v>78</v>
      </c>
      <c r="T10" s="26" t="s">
        <v>79</v>
      </c>
      <c r="U10" s="27" t="s">
        <v>80</v>
      </c>
      <c r="V10" s="27" t="s">
        <v>81</v>
      </c>
      <c r="W10" s="27" t="s">
        <v>82</v>
      </c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4"/>
      <c r="AN10" s="43"/>
      <c r="AO10" s="44" t="s">
        <v>83</v>
      </c>
      <c r="AP10" s="45"/>
      <c r="AQ10" s="45"/>
      <c r="AR10" s="43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</row>
    <row r="11" spans="1:55" s="33" customFormat="1" ht="20.100000000000001" customHeight="1" x14ac:dyDescent="0.25">
      <c r="A11" s="46"/>
      <c r="B11" s="35" t="s">
        <v>84</v>
      </c>
      <c r="C11" s="41">
        <v>609.6</v>
      </c>
      <c r="D11" s="19">
        <v>0</v>
      </c>
      <c r="E11" s="19">
        <v>0</v>
      </c>
      <c r="F11" s="37" t="s">
        <v>46</v>
      </c>
      <c r="G11" s="38">
        <v>1217.4943392</v>
      </c>
      <c r="H11" s="39">
        <v>5.4863999999999997</v>
      </c>
      <c r="I11" s="40">
        <v>14.114501766784455</v>
      </c>
      <c r="J11" s="41">
        <v>86.258399999999995</v>
      </c>
      <c r="K11" s="42">
        <v>90</v>
      </c>
      <c r="L11" s="39"/>
      <c r="M11" s="39" t="s">
        <v>45</v>
      </c>
      <c r="N11" s="39" t="s">
        <v>45</v>
      </c>
      <c r="O11" s="39">
        <v>0.9</v>
      </c>
      <c r="P11" s="39">
        <v>0.30480000000000002</v>
      </c>
      <c r="Q11" s="24"/>
      <c r="R11" s="25" t="s">
        <v>85</v>
      </c>
      <c r="S11" s="25" t="s">
        <v>86</v>
      </c>
      <c r="T11" s="26" t="s">
        <v>87</v>
      </c>
      <c r="U11" s="27" t="s">
        <v>88</v>
      </c>
      <c r="V11" s="27" t="s">
        <v>89</v>
      </c>
      <c r="W11" s="27" t="s">
        <v>90</v>
      </c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4"/>
      <c r="AN11" s="43"/>
      <c r="AO11" s="44" t="s">
        <v>58</v>
      </c>
      <c r="AP11" s="45"/>
      <c r="AQ11" s="45"/>
      <c r="AR11" s="43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</row>
    <row r="12" spans="1:55" s="33" customFormat="1" ht="20.100000000000001" customHeight="1" x14ac:dyDescent="0.25">
      <c r="A12" s="46"/>
      <c r="B12" s="35" t="s">
        <v>91</v>
      </c>
      <c r="C12" s="41">
        <v>762</v>
      </c>
      <c r="D12" s="19">
        <v>0</v>
      </c>
      <c r="E12" s="19">
        <v>0</v>
      </c>
      <c r="F12" s="37" t="s">
        <v>46</v>
      </c>
      <c r="G12" s="38">
        <v>1066.0530936960001</v>
      </c>
      <c r="H12" s="39">
        <v>5.4863999999999997</v>
      </c>
      <c r="I12" s="40">
        <v>17.3736</v>
      </c>
      <c r="J12" s="41">
        <v>61.360517894736851</v>
      </c>
      <c r="K12" s="42">
        <v>270</v>
      </c>
      <c r="L12" s="39"/>
      <c r="M12" s="39" t="s">
        <v>45</v>
      </c>
      <c r="N12" s="39" t="s">
        <v>45</v>
      </c>
      <c r="O12" s="39">
        <v>0.9</v>
      </c>
      <c r="P12" s="39">
        <v>0.30480000000000002</v>
      </c>
      <c r="Q12" s="24"/>
      <c r="R12" s="25" t="s">
        <v>92</v>
      </c>
      <c r="S12" s="25" t="s">
        <v>93</v>
      </c>
      <c r="T12" s="26" t="s">
        <v>94</v>
      </c>
      <c r="U12" s="27" t="s">
        <v>95</v>
      </c>
      <c r="V12" s="27" t="s">
        <v>96</v>
      </c>
      <c r="W12" s="27" t="s">
        <v>97</v>
      </c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4"/>
      <c r="AN12" s="43"/>
      <c r="AO12" s="44" t="s">
        <v>98</v>
      </c>
      <c r="AP12" s="45"/>
      <c r="AQ12" s="45"/>
      <c r="AR12" s="43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</row>
    <row r="13" spans="1:55" s="33" customFormat="1" ht="20.100000000000001" customHeight="1" x14ac:dyDescent="0.25">
      <c r="A13" s="46"/>
      <c r="B13" s="35" t="s">
        <v>99</v>
      </c>
      <c r="C13" s="41">
        <v>914.4</v>
      </c>
      <c r="D13" s="19">
        <v>0</v>
      </c>
      <c r="E13" s="19">
        <v>0</v>
      </c>
      <c r="F13" s="37" t="s">
        <v>46</v>
      </c>
      <c r="G13" s="38">
        <v>522.20798783999999</v>
      </c>
      <c r="H13" s="39">
        <v>5.4863999999999997</v>
      </c>
      <c r="I13" s="40">
        <v>23.4696</v>
      </c>
      <c r="J13" s="41">
        <v>22.250399999999999</v>
      </c>
      <c r="K13" s="42">
        <v>0</v>
      </c>
      <c r="L13" s="39">
        <v>270</v>
      </c>
      <c r="M13" s="39" t="s">
        <v>45</v>
      </c>
      <c r="N13" s="39" t="s">
        <v>45</v>
      </c>
      <c r="O13" s="39">
        <v>0.9</v>
      </c>
      <c r="P13" s="39">
        <v>0.30480000000000002</v>
      </c>
      <c r="Q13" s="24"/>
      <c r="R13" s="25" t="s">
        <v>100</v>
      </c>
      <c r="S13" s="25" t="s">
        <v>101</v>
      </c>
      <c r="T13" s="26" t="s">
        <v>102</v>
      </c>
      <c r="U13" s="27" t="s">
        <v>103</v>
      </c>
      <c r="V13" s="27" t="s">
        <v>104</v>
      </c>
      <c r="W13" s="27" t="s">
        <v>105</v>
      </c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4"/>
      <c r="AN13" s="43"/>
      <c r="AO13" s="44" t="s">
        <v>106</v>
      </c>
      <c r="AP13" s="45"/>
      <c r="AQ13" s="45"/>
      <c r="AR13" s="43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</row>
    <row r="14" spans="1:55" s="33" customFormat="1" ht="20.100000000000001" customHeight="1" x14ac:dyDescent="0.25">
      <c r="A14" s="46"/>
      <c r="B14" s="35" t="s">
        <v>107</v>
      </c>
      <c r="C14" s="41">
        <v>1066.8</v>
      </c>
      <c r="D14" s="19">
        <v>0</v>
      </c>
      <c r="E14" s="19">
        <v>0</v>
      </c>
      <c r="F14" s="39" t="s">
        <v>45</v>
      </c>
      <c r="G14" s="38">
        <v>338.44577471999997</v>
      </c>
      <c r="H14" s="39">
        <v>5.4863999999999997</v>
      </c>
      <c r="I14" s="40">
        <v>16.763999999999999</v>
      </c>
      <c r="J14" s="41">
        <v>20.188843636363636</v>
      </c>
      <c r="K14" s="42"/>
      <c r="L14" s="39"/>
      <c r="M14" s="39" t="s">
        <v>45</v>
      </c>
      <c r="N14" s="39" t="s">
        <v>45</v>
      </c>
      <c r="O14" s="39">
        <v>0.9</v>
      </c>
      <c r="P14" s="39">
        <v>0.30480000000000002</v>
      </c>
      <c r="Q14" s="24"/>
      <c r="R14" s="25" t="s">
        <v>108</v>
      </c>
      <c r="S14" s="25" t="s">
        <v>109</v>
      </c>
      <c r="T14" s="26" t="s">
        <v>110</v>
      </c>
      <c r="U14" s="27" t="s">
        <v>111</v>
      </c>
      <c r="V14" s="27" t="s">
        <v>112</v>
      </c>
      <c r="W14" s="27" t="s">
        <v>113</v>
      </c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4"/>
      <c r="AN14" s="43"/>
      <c r="AO14" s="44" t="s">
        <v>114</v>
      </c>
      <c r="AP14" s="45"/>
      <c r="AQ14" s="45"/>
      <c r="AR14" s="43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</row>
    <row r="15" spans="1:55" s="33" customFormat="1" ht="20.100000000000001" customHeight="1" x14ac:dyDescent="0.25">
      <c r="A15" s="46"/>
      <c r="B15" s="35" t="s">
        <v>115</v>
      </c>
      <c r="C15" s="41">
        <v>1219.2</v>
      </c>
      <c r="D15" s="19">
        <v>0</v>
      </c>
      <c r="E15" s="19">
        <v>0</v>
      </c>
      <c r="F15" s="37" t="s">
        <v>46</v>
      </c>
      <c r="G15" s="38">
        <v>1325.0760595199999</v>
      </c>
      <c r="H15" s="39">
        <v>5.4863999999999997</v>
      </c>
      <c r="I15" s="40">
        <v>50.292000000000002</v>
      </c>
      <c r="J15" s="41">
        <v>26.347650909090909</v>
      </c>
      <c r="K15" s="42">
        <v>90</v>
      </c>
      <c r="L15" s="39">
        <v>180</v>
      </c>
      <c r="M15" s="39" t="s">
        <v>45</v>
      </c>
      <c r="N15" s="39" t="s">
        <v>45</v>
      </c>
      <c r="O15" s="39">
        <v>0.9</v>
      </c>
      <c r="P15" s="39">
        <v>0.30480000000000002</v>
      </c>
      <c r="Q15" s="24"/>
      <c r="R15" s="25" t="s">
        <v>116</v>
      </c>
      <c r="S15" s="25" t="s">
        <v>117</v>
      </c>
      <c r="T15" s="26" t="s">
        <v>118</v>
      </c>
      <c r="U15" s="27" t="s">
        <v>119</v>
      </c>
      <c r="V15" s="27" t="s">
        <v>120</v>
      </c>
      <c r="W15" s="27" t="s">
        <v>121</v>
      </c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4"/>
      <c r="AN15" s="43"/>
      <c r="AO15" s="43"/>
      <c r="AP15" s="43"/>
      <c r="AQ15" s="43"/>
      <c r="AR15" s="43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</row>
    <row r="16" spans="1:55" s="33" customFormat="1" ht="20.100000000000001" customHeight="1" x14ac:dyDescent="0.25">
      <c r="A16" s="46"/>
      <c r="B16" s="35" t="s">
        <v>122</v>
      </c>
      <c r="C16" s="41">
        <v>1371.6</v>
      </c>
      <c r="D16" s="19">
        <v>0</v>
      </c>
      <c r="E16" s="19">
        <v>0</v>
      </c>
      <c r="F16" s="37" t="s">
        <v>46</v>
      </c>
      <c r="G16" s="38">
        <v>653.20127423999998</v>
      </c>
      <c r="H16" s="39">
        <v>5.4863999999999997</v>
      </c>
      <c r="I16" s="40">
        <v>28.956</v>
      </c>
      <c r="J16" s="41">
        <v>22.558408421052633</v>
      </c>
      <c r="K16" s="42">
        <v>0</v>
      </c>
      <c r="L16" s="39">
        <v>270</v>
      </c>
      <c r="M16" s="39" t="s">
        <v>45</v>
      </c>
      <c r="N16" s="39" t="s">
        <v>45</v>
      </c>
      <c r="O16" s="39">
        <v>0.9</v>
      </c>
      <c r="P16" s="39">
        <v>0.30480000000000002</v>
      </c>
      <c r="Q16" s="24"/>
      <c r="R16" s="25"/>
      <c r="S16" s="25"/>
      <c r="T16" s="47"/>
      <c r="U16" s="48"/>
      <c r="V16" s="48"/>
      <c r="W16" s="4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4"/>
      <c r="AN16" s="43"/>
      <c r="AO16" s="43"/>
      <c r="AP16" s="43"/>
      <c r="AQ16" s="43"/>
      <c r="AR16" s="43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</row>
    <row r="17" spans="1:55" s="33" customFormat="1" ht="20.100000000000001" customHeight="1" x14ac:dyDescent="0.25">
      <c r="A17" s="46"/>
      <c r="B17" s="35" t="s">
        <v>123</v>
      </c>
      <c r="C17" s="41">
        <v>1524</v>
      </c>
      <c r="D17" s="19">
        <v>0</v>
      </c>
      <c r="E17" s="19">
        <v>0</v>
      </c>
      <c r="F17" s="37" t="s">
        <v>45</v>
      </c>
      <c r="G17" s="38">
        <v>308.43809279999999</v>
      </c>
      <c r="H17" s="39">
        <v>5.4863999999999997</v>
      </c>
      <c r="I17" s="40">
        <v>16.763999999999999</v>
      </c>
      <c r="J17" s="41">
        <v>1.5574265625599999</v>
      </c>
      <c r="K17" s="42"/>
      <c r="L17" s="39"/>
      <c r="M17" s="39" t="s">
        <v>45</v>
      </c>
      <c r="N17" s="39" t="s">
        <v>45</v>
      </c>
      <c r="O17" s="39">
        <v>0.9</v>
      </c>
      <c r="P17" s="39">
        <v>0.30480000000000002</v>
      </c>
      <c r="Q17" s="24"/>
      <c r="R17" s="25"/>
      <c r="S17" s="25"/>
      <c r="T17" s="47"/>
      <c r="U17" s="48"/>
      <c r="V17" s="48"/>
      <c r="W17" s="4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4"/>
      <c r="AN17" s="43"/>
      <c r="AO17" s="43"/>
      <c r="AP17" s="43"/>
      <c r="AQ17" s="43"/>
      <c r="AR17" s="43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</row>
    <row r="18" spans="1:55" s="33" customFormat="1" ht="20.100000000000001" customHeight="1" x14ac:dyDescent="0.25">
      <c r="A18" s="46"/>
      <c r="B18" s="35" t="s">
        <v>124</v>
      </c>
      <c r="C18" s="41">
        <v>1676.4</v>
      </c>
      <c r="D18" s="19">
        <v>0</v>
      </c>
      <c r="E18" s="19">
        <v>0</v>
      </c>
      <c r="F18" s="39" t="s">
        <v>46</v>
      </c>
      <c r="G18" s="38">
        <v>872.73115776000009</v>
      </c>
      <c r="H18" s="39">
        <v>5.4863999999999997</v>
      </c>
      <c r="I18" s="40">
        <v>20.726400000000002</v>
      </c>
      <c r="J18" s="41">
        <v>42.107223529411769</v>
      </c>
      <c r="K18" s="42">
        <v>270</v>
      </c>
      <c r="L18" s="39"/>
      <c r="M18" s="39" t="s">
        <v>45</v>
      </c>
      <c r="N18" s="39" t="s">
        <v>45</v>
      </c>
      <c r="O18" s="39">
        <v>0.9</v>
      </c>
      <c r="P18" s="39">
        <v>0.30480000000000002</v>
      </c>
      <c r="Q18" s="24"/>
      <c r="R18" s="25"/>
      <c r="S18" s="25"/>
      <c r="T18" s="47"/>
      <c r="U18" s="48"/>
      <c r="V18" s="48"/>
      <c r="W18" s="4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4"/>
      <c r="AN18" s="43"/>
      <c r="AO18" s="43"/>
      <c r="AP18" s="43"/>
      <c r="AQ18" s="43"/>
      <c r="AR18" s="43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</row>
    <row r="19" spans="1:55" s="33" customFormat="1" ht="20.100000000000001" customHeight="1" x14ac:dyDescent="0.25">
      <c r="A19" s="46"/>
      <c r="B19" s="35" t="s">
        <v>125</v>
      </c>
      <c r="C19" s="41">
        <v>1828.8</v>
      </c>
      <c r="D19" s="19">
        <v>0</v>
      </c>
      <c r="E19" s="19">
        <v>0</v>
      </c>
      <c r="F19" s="37" t="s">
        <v>46</v>
      </c>
      <c r="G19" s="38">
        <v>874.40341248000004</v>
      </c>
      <c r="H19" s="39">
        <v>5.4863999999999997</v>
      </c>
      <c r="I19" s="40">
        <v>17.492546341463417</v>
      </c>
      <c r="J19" s="41">
        <v>49.987200000000001</v>
      </c>
      <c r="K19" s="42">
        <v>90</v>
      </c>
      <c r="L19" s="39"/>
      <c r="M19" s="39" t="s">
        <v>45</v>
      </c>
      <c r="N19" s="39" t="s">
        <v>45</v>
      </c>
      <c r="O19" s="39">
        <v>0.9</v>
      </c>
      <c r="P19" s="39">
        <v>0.30480000000000002</v>
      </c>
      <c r="Q19" s="24"/>
      <c r="R19" s="25"/>
      <c r="S19" s="25"/>
      <c r="T19" s="47"/>
      <c r="U19" s="48"/>
      <c r="V19" s="48"/>
      <c r="W19" s="4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4"/>
      <c r="AN19" s="43"/>
      <c r="AO19" s="43"/>
      <c r="AP19" s="43"/>
      <c r="AQ19" s="43"/>
      <c r="AR19" s="43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</row>
    <row r="20" spans="1:55" s="33" customFormat="1" ht="20.100000000000001" customHeight="1" x14ac:dyDescent="0.25">
      <c r="A20" s="46"/>
      <c r="B20" s="35" t="s">
        <v>126</v>
      </c>
      <c r="C20" s="41">
        <v>1981.2</v>
      </c>
      <c r="D20" s="19">
        <v>0</v>
      </c>
      <c r="E20" s="19">
        <v>0</v>
      </c>
      <c r="F20" s="39" t="s">
        <v>46</v>
      </c>
      <c r="G20" s="38">
        <v>952.62777215999995</v>
      </c>
      <c r="H20" s="39">
        <v>4.8768000000000002</v>
      </c>
      <c r="I20" s="40">
        <v>11.838709090909092</v>
      </c>
      <c r="J20" s="41">
        <v>80.467200000000005</v>
      </c>
      <c r="K20" s="42">
        <v>270</v>
      </c>
      <c r="L20" s="39"/>
      <c r="M20" s="39" t="s">
        <v>45</v>
      </c>
      <c r="N20" s="39" t="s">
        <v>45</v>
      </c>
      <c r="O20" s="39">
        <v>0.9</v>
      </c>
      <c r="P20" s="39">
        <v>0.30480000000000002</v>
      </c>
      <c r="Q20" s="24"/>
      <c r="R20" s="25"/>
      <c r="S20" s="25"/>
      <c r="T20" s="47"/>
      <c r="U20" s="48"/>
      <c r="V20" s="48"/>
      <c r="W20" s="4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4"/>
      <c r="AN20" s="43"/>
      <c r="AO20" s="43"/>
      <c r="AP20" s="43"/>
      <c r="AQ20" s="43"/>
      <c r="AR20" s="43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</row>
    <row r="21" spans="1:55" s="33" customFormat="1" ht="20.100000000000001" customHeight="1" x14ac:dyDescent="0.25">
      <c r="A21" s="46"/>
      <c r="B21" s="35" t="s">
        <v>127</v>
      </c>
      <c r="C21" s="41">
        <v>2133.6</v>
      </c>
      <c r="D21" s="19">
        <v>0</v>
      </c>
      <c r="E21" s="19">
        <v>0</v>
      </c>
      <c r="F21" s="39" t="s">
        <v>46</v>
      </c>
      <c r="G21" s="38">
        <v>522.30089088</v>
      </c>
      <c r="H21" s="39">
        <v>4.8768000000000002</v>
      </c>
      <c r="I21" s="40">
        <v>36.880800000000001</v>
      </c>
      <c r="J21" s="41">
        <v>14.161864462809918</v>
      </c>
      <c r="K21" s="42">
        <v>0</v>
      </c>
      <c r="L21" s="39"/>
      <c r="M21" s="39" t="s">
        <v>45</v>
      </c>
      <c r="N21" s="39" t="s">
        <v>45</v>
      </c>
      <c r="O21" s="39">
        <v>0.9</v>
      </c>
      <c r="P21" s="39">
        <v>0.30480000000000002</v>
      </c>
      <c r="Q21" s="24"/>
      <c r="R21" s="24"/>
      <c r="S21" s="24"/>
      <c r="T21" s="24"/>
      <c r="U21" s="49" t="s">
        <v>128</v>
      </c>
      <c r="V21" s="49" t="s">
        <v>129</v>
      </c>
      <c r="W21" s="49" t="s">
        <v>130</v>
      </c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</row>
    <row r="22" spans="1:55" s="33" customFormat="1" ht="20.100000000000001" customHeight="1" x14ac:dyDescent="0.25">
      <c r="A22" s="46"/>
      <c r="B22" s="35" t="s">
        <v>131</v>
      </c>
      <c r="C22" s="41">
        <v>2286</v>
      </c>
      <c r="D22" s="19">
        <v>0</v>
      </c>
      <c r="E22" s="19">
        <v>0</v>
      </c>
      <c r="F22" s="37" t="s">
        <v>46</v>
      </c>
      <c r="G22" s="38">
        <v>905.52593087999992</v>
      </c>
      <c r="H22" s="39">
        <v>4.8768000000000002</v>
      </c>
      <c r="I22" s="40">
        <v>13.627915596330276</v>
      </c>
      <c r="J22" s="41">
        <v>66.446399999999997</v>
      </c>
      <c r="K22" s="42">
        <v>90</v>
      </c>
      <c r="L22" s="39"/>
      <c r="M22" s="39" t="s">
        <v>45</v>
      </c>
      <c r="N22" s="39" t="s">
        <v>45</v>
      </c>
      <c r="O22" s="39">
        <v>0.9</v>
      </c>
      <c r="P22" s="39">
        <v>0.30480000000000002</v>
      </c>
      <c r="Q22" s="24"/>
      <c r="R22" s="24"/>
      <c r="S22" s="24"/>
      <c r="T22" s="24"/>
      <c r="U22" s="49" t="s">
        <v>132</v>
      </c>
      <c r="V22" s="49" t="s">
        <v>133</v>
      </c>
      <c r="W22" s="49" t="s">
        <v>134</v>
      </c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</row>
    <row r="23" spans="1:55" s="33" customFormat="1" ht="20.100000000000001" customHeight="1" x14ac:dyDescent="0.25">
      <c r="A23" s="46"/>
      <c r="B23" s="35" t="s">
        <v>135</v>
      </c>
      <c r="C23" s="41">
        <v>2438.4</v>
      </c>
      <c r="D23" s="19">
        <v>0</v>
      </c>
      <c r="E23" s="19">
        <v>0</v>
      </c>
      <c r="F23" s="37" t="s">
        <v>46</v>
      </c>
      <c r="G23" s="38">
        <v>505.29963455999996</v>
      </c>
      <c r="H23" s="39">
        <v>4.8768000000000002</v>
      </c>
      <c r="I23" s="40">
        <v>36.880800000000001</v>
      </c>
      <c r="J23" s="41">
        <v>13.700885950413223</v>
      </c>
      <c r="K23" s="42">
        <v>180</v>
      </c>
      <c r="L23" s="39"/>
      <c r="M23" s="39" t="s">
        <v>45</v>
      </c>
      <c r="N23" s="39" t="s">
        <v>45</v>
      </c>
      <c r="O23" s="39">
        <v>0.9</v>
      </c>
      <c r="P23" s="39">
        <v>0.30480000000000002</v>
      </c>
      <c r="Q23" s="24"/>
      <c r="R23" s="24"/>
      <c r="S23" s="24"/>
      <c r="T23" s="24"/>
      <c r="U23" s="49" t="s">
        <v>136</v>
      </c>
      <c r="V23" s="49" t="s">
        <v>137</v>
      </c>
      <c r="W23" s="49" t="s">
        <v>138</v>
      </c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</row>
    <row r="24" spans="1:55" s="33" customFormat="1" ht="20.100000000000001" customHeight="1" x14ac:dyDescent="0.25">
      <c r="A24" s="46"/>
      <c r="B24" s="35" t="s">
        <v>139</v>
      </c>
      <c r="C24" s="41">
        <v>2590.8000000000002</v>
      </c>
      <c r="D24" s="19">
        <v>0</v>
      </c>
      <c r="E24" s="19">
        <v>0</v>
      </c>
      <c r="F24" s="37" t="s">
        <v>45</v>
      </c>
      <c r="G24" s="38">
        <v>657.19610496000007</v>
      </c>
      <c r="H24" s="39">
        <v>4.8768000000000002</v>
      </c>
      <c r="I24" s="40">
        <v>19.507200000000001</v>
      </c>
      <c r="J24" s="41">
        <v>33.689925000000002</v>
      </c>
      <c r="K24" s="42"/>
      <c r="L24" s="39"/>
      <c r="M24" s="39" t="s">
        <v>45</v>
      </c>
      <c r="N24" s="39" t="s">
        <v>45</v>
      </c>
      <c r="O24" s="39">
        <v>0.9</v>
      </c>
      <c r="P24" s="39">
        <v>0.30480000000000002</v>
      </c>
      <c r="Q24" s="24"/>
      <c r="R24" s="24"/>
      <c r="S24" s="24"/>
      <c r="T24" s="24"/>
      <c r="U24" s="49" t="s">
        <v>140</v>
      </c>
      <c r="V24" s="49" t="s">
        <v>141</v>
      </c>
      <c r="W24" s="49" t="s">
        <v>142</v>
      </c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</row>
    <row r="25" spans="1:55" s="33" customFormat="1" ht="20.100000000000001" customHeight="1" x14ac:dyDescent="0.25">
      <c r="A25" s="46"/>
      <c r="B25" s="35" t="s">
        <v>143</v>
      </c>
      <c r="C25" s="41">
        <v>2743.2</v>
      </c>
      <c r="D25" s="19">
        <v>0</v>
      </c>
      <c r="E25" s="19">
        <v>0</v>
      </c>
      <c r="F25" s="39" t="s">
        <v>45</v>
      </c>
      <c r="G25" s="38">
        <v>589.56269184000007</v>
      </c>
      <c r="H25" s="39">
        <v>4.8768000000000002</v>
      </c>
      <c r="I25" s="40">
        <v>19.507200000000001</v>
      </c>
      <c r="J25" s="41">
        <v>30.222825</v>
      </c>
      <c r="K25" s="42"/>
      <c r="L25" s="39"/>
      <c r="M25" s="39" t="s">
        <v>45</v>
      </c>
      <c r="N25" s="39" t="s">
        <v>45</v>
      </c>
      <c r="O25" s="39">
        <v>0.9</v>
      </c>
      <c r="P25" s="39">
        <v>0.30480000000000002</v>
      </c>
      <c r="Q25" s="24"/>
      <c r="R25" s="24"/>
      <c r="S25" s="24"/>
      <c r="T25" s="24"/>
      <c r="U25" s="49" t="s">
        <v>144</v>
      </c>
      <c r="V25" s="49" t="s">
        <v>144</v>
      </c>
      <c r="W25" s="49" t="s">
        <v>145</v>
      </c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</row>
    <row r="26" spans="1:55" s="33" customFormat="1" ht="20.100000000000001" customHeight="1" x14ac:dyDescent="0.25">
      <c r="A26" s="46"/>
      <c r="B26" s="35" t="s">
        <v>146</v>
      </c>
      <c r="C26" s="41">
        <v>2895.6</v>
      </c>
      <c r="D26" s="19">
        <v>0</v>
      </c>
      <c r="E26" s="19">
        <v>0</v>
      </c>
      <c r="F26" s="37" t="s">
        <v>46</v>
      </c>
      <c r="G26" s="38">
        <v>975.94643520000011</v>
      </c>
      <c r="H26" s="39">
        <v>4.8768000000000002</v>
      </c>
      <c r="I26" s="40">
        <v>12.082732075471698</v>
      </c>
      <c r="J26" s="41">
        <v>80.772000000000006</v>
      </c>
      <c r="K26" s="42">
        <v>270</v>
      </c>
      <c r="L26" s="39"/>
      <c r="M26" s="39" t="s">
        <v>45</v>
      </c>
      <c r="N26" s="39" t="s">
        <v>45</v>
      </c>
      <c r="O26" s="39">
        <v>0.9</v>
      </c>
      <c r="P26" s="39">
        <v>0.30480000000000002</v>
      </c>
      <c r="Q26" s="24"/>
      <c r="R26" s="24"/>
      <c r="S26" s="24"/>
      <c r="T26" s="24"/>
      <c r="U26" s="49" t="s">
        <v>147</v>
      </c>
      <c r="V26" s="49" t="s">
        <v>148</v>
      </c>
      <c r="W26" s="49" t="s">
        <v>149</v>
      </c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</row>
    <row r="27" spans="1:55" s="33" customFormat="1" ht="20.100000000000001" customHeight="1" x14ac:dyDescent="0.25">
      <c r="A27" s="46"/>
      <c r="B27" s="35" t="s">
        <v>150</v>
      </c>
      <c r="C27" s="41">
        <v>3048</v>
      </c>
      <c r="D27" s="19">
        <v>0</v>
      </c>
      <c r="E27" s="19">
        <v>0</v>
      </c>
      <c r="F27" s="37" t="s">
        <v>46</v>
      </c>
      <c r="G27" s="38">
        <v>522.30089088</v>
      </c>
      <c r="H27" s="39">
        <v>4.8768000000000002</v>
      </c>
      <c r="I27" s="40">
        <v>36.880800000000001</v>
      </c>
      <c r="J27" s="41">
        <v>14.161864462809918</v>
      </c>
      <c r="K27" s="42">
        <v>0</v>
      </c>
      <c r="L27" s="39"/>
      <c r="M27" s="39" t="s">
        <v>45</v>
      </c>
      <c r="N27" s="39" t="s">
        <v>45</v>
      </c>
      <c r="O27" s="39">
        <v>0.9</v>
      </c>
      <c r="P27" s="39">
        <v>0.30480000000000002</v>
      </c>
      <c r="Q27" s="24"/>
      <c r="R27" s="24"/>
      <c r="S27" s="24"/>
      <c r="T27" s="24"/>
      <c r="U27" s="49" t="s">
        <v>151</v>
      </c>
      <c r="V27" s="49" t="s">
        <v>152</v>
      </c>
      <c r="W27" s="49" t="s">
        <v>153</v>
      </c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</row>
    <row r="28" spans="1:55" s="33" customFormat="1" ht="20.100000000000001" customHeight="1" x14ac:dyDescent="0.25">
      <c r="A28" s="46"/>
      <c r="B28" s="35" t="s">
        <v>154</v>
      </c>
      <c r="C28" s="41">
        <v>3200.4</v>
      </c>
      <c r="D28" s="19">
        <v>0</v>
      </c>
      <c r="E28" s="19">
        <v>0</v>
      </c>
      <c r="F28" s="37" t="s">
        <v>46</v>
      </c>
      <c r="G28" s="38">
        <v>905.52593087999992</v>
      </c>
      <c r="H28" s="39">
        <v>4.8768000000000002</v>
      </c>
      <c r="I28" s="40">
        <v>13.627915596330276</v>
      </c>
      <c r="J28" s="41">
        <v>66.446399999999997</v>
      </c>
      <c r="K28" s="42">
        <v>90</v>
      </c>
      <c r="L28" s="39"/>
      <c r="M28" s="39" t="s">
        <v>45</v>
      </c>
      <c r="N28" s="39" t="s">
        <v>45</v>
      </c>
      <c r="O28" s="39">
        <v>0.9</v>
      </c>
      <c r="P28" s="39">
        <v>0.30480000000000002</v>
      </c>
      <c r="Q28" s="24"/>
      <c r="R28" s="24"/>
      <c r="S28" s="24"/>
      <c r="T28" s="24"/>
      <c r="U28" s="49" t="s">
        <v>155</v>
      </c>
      <c r="V28" s="49" t="s">
        <v>155</v>
      </c>
      <c r="W28" s="49" t="s">
        <v>156</v>
      </c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</row>
    <row r="29" spans="1:55" s="33" customFormat="1" ht="20.100000000000001" customHeight="1" x14ac:dyDescent="0.25">
      <c r="A29" s="46"/>
      <c r="B29" s="35" t="s">
        <v>157</v>
      </c>
      <c r="C29" s="41">
        <v>3352.8</v>
      </c>
      <c r="D29" s="19">
        <v>0</v>
      </c>
      <c r="E29" s="19">
        <v>0</v>
      </c>
      <c r="F29" s="39" t="s">
        <v>46</v>
      </c>
      <c r="G29" s="38">
        <v>505.29963455999996</v>
      </c>
      <c r="H29" s="39">
        <v>4.8768000000000002</v>
      </c>
      <c r="I29" s="40">
        <v>36.880800000000001</v>
      </c>
      <c r="J29" s="41">
        <v>13.700885950413223</v>
      </c>
      <c r="K29" s="42">
        <v>180</v>
      </c>
      <c r="L29" s="39"/>
      <c r="M29" s="39" t="s">
        <v>45</v>
      </c>
      <c r="N29" s="39" t="s">
        <v>45</v>
      </c>
      <c r="O29" s="39">
        <v>0.9</v>
      </c>
      <c r="P29" s="39">
        <v>0.30480000000000002</v>
      </c>
      <c r="Q29" s="24"/>
      <c r="R29" s="24"/>
      <c r="S29" s="24"/>
      <c r="T29" s="24"/>
      <c r="U29" s="49" t="s">
        <v>158</v>
      </c>
      <c r="V29" s="49" t="s">
        <v>159</v>
      </c>
      <c r="W29" s="49" t="s">
        <v>160</v>
      </c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</row>
    <row r="30" spans="1:55" s="33" customFormat="1" ht="20.100000000000001" customHeight="1" x14ac:dyDescent="0.25">
      <c r="A30" s="46"/>
      <c r="B30" s="35" t="s">
        <v>161</v>
      </c>
      <c r="C30" s="41">
        <v>3505.2</v>
      </c>
      <c r="D30" s="19">
        <v>0</v>
      </c>
      <c r="E30" s="19">
        <v>0</v>
      </c>
      <c r="F30" s="37" t="s">
        <v>45</v>
      </c>
      <c r="G30" s="38">
        <v>657.19610496000007</v>
      </c>
      <c r="H30" s="39">
        <v>4.8768000000000002</v>
      </c>
      <c r="I30" s="40">
        <v>19.507200000000001</v>
      </c>
      <c r="J30" s="41">
        <v>33.689925000000002</v>
      </c>
      <c r="K30" s="42"/>
      <c r="L30" s="39"/>
      <c r="M30" s="39" t="s">
        <v>45</v>
      </c>
      <c r="N30" s="39" t="s">
        <v>45</v>
      </c>
      <c r="O30" s="39">
        <v>0.9</v>
      </c>
      <c r="P30" s="39">
        <v>0.30480000000000002</v>
      </c>
      <c r="Q30" s="24"/>
      <c r="R30" s="24"/>
      <c r="S30" s="24"/>
      <c r="T30" s="24"/>
      <c r="U30" s="49" t="s">
        <v>162</v>
      </c>
      <c r="V30" s="49" t="s">
        <v>162</v>
      </c>
      <c r="W30" s="49" t="s">
        <v>163</v>
      </c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</row>
    <row r="31" spans="1:55" s="33" customFormat="1" ht="20.100000000000001" customHeight="1" x14ac:dyDescent="0.25">
      <c r="A31" s="46"/>
      <c r="B31" s="35" t="s">
        <v>164</v>
      </c>
      <c r="C31" s="41">
        <v>3657.6</v>
      </c>
      <c r="D31" s="19">
        <v>0</v>
      </c>
      <c r="E31" s="19">
        <v>0</v>
      </c>
      <c r="F31" s="37" t="s">
        <v>45</v>
      </c>
      <c r="G31" s="38">
        <v>589.56269184000007</v>
      </c>
      <c r="H31" s="39">
        <v>4.8768000000000002</v>
      </c>
      <c r="I31" s="40">
        <v>19.507200000000001</v>
      </c>
      <c r="J31" s="41">
        <v>30.222825</v>
      </c>
      <c r="K31" s="42"/>
      <c r="L31" s="39"/>
      <c r="M31" s="39" t="s">
        <v>45</v>
      </c>
      <c r="N31" s="39" t="s">
        <v>45</v>
      </c>
      <c r="O31" s="39">
        <v>0.9</v>
      </c>
      <c r="P31" s="39">
        <v>0.30480000000000002</v>
      </c>
      <c r="Q31" s="24"/>
      <c r="R31" s="24"/>
      <c r="S31" s="24"/>
      <c r="T31" s="24"/>
      <c r="U31" s="49" t="s">
        <v>165</v>
      </c>
      <c r="V31" s="49" t="s">
        <v>166</v>
      </c>
      <c r="W31" s="49" t="s">
        <v>167</v>
      </c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</row>
    <row r="32" spans="1:55" s="33" customFormat="1" ht="20.100000000000001" customHeight="1" x14ac:dyDescent="0.25">
      <c r="A32" s="46"/>
      <c r="B32" s="35" t="s">
        <v>168</v>
      </c>
      <c r="C32" s="41">
        <v>3810</v>
      </c>
      <c r="D32" s="19">
        <v>0</v>
      </c>
      <c r="E32" s="19">
        <v>0</v>
      </c>
      <c r="F32" s="39" t="s">
        <v>46</v>
      </c>
      <c r="G32" s="38">
        <v>975.94643520000011</v>
      </c>
      <c r="H32" s="39">
        <v>4.8768000000000002</v>
      </c>
      <c r="I32" s="40">
        <v>12.082732075471698</v>
      </c>
      <c r="J32" s="41">
        <v>80.772000000000006</v>
      </c>
      <c r="K32" s="42">
        <v>270</v>
      </c>
      <c r="L32" s="39"/>
      <c r="M32" s="39" t="s">
        <v>45</v>
      </c>
      <c r="N32" s="39" t="s">
        <v>45</v>
      </c>
      <c r="O32" s="39">
        <v>0.9</v>
      </c>
      <c r="P32" s="39">
        <v>0.30480000000000002</v>
      </c>
      <c r="Q32" s="24"/>
      <c r="R32" s="24"/>
      <c r="S32" s="24"/>
      <c r="T32" s="24"/>
      <c r="U32" s="24"/>
      <c r="V32" s="49" t="s">
        <v>169</v>
      </c>
      <c r="W32" s="49" t="s">
        <v>170</v>
      </c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</row>
    <row r="33" spans="1:54" s="33" customFormat="1" ht="20.100000000000001" customHeight="1" x14ac:dyDescent="0.25">
      <c r="A33" s="46"/>
      <c r="B33" s="35" t="s">
        <v>171</v>
      </c>
      <c r="C33" s="41">
        <v>3962.4</v>
      </c>
      <c r="D33" s="19">
        <v>0</v>
      </c>
      <c r="E33" s="19">
        <v>0</v>
      </c>
      <c r="F33" s="39" t="s">
        <v>46</v>
      </c>
      <c r="G33" s="38">
        <v>522.30089088</v>
      </c>
      <c r="H33" s="39">
        <v>4.8768000000000002</v>
      </c>
      <c r="I33" s="40">
        <v>36.880800000000001</v>
      </c>
      <c r="J33" s="41">
        <v>14.161864462809918</v>
      </c>
      <c r="K33" s="42">
        <v>0</v>
      </c>
      <c r="L33" s="39"/>
      <c r="M33" s="39" t="s">
        <v>45</v>
      </c>
      <c r="N33" s="39" t="s">
        <v>45</v>
      </c>
      <c r="O33" s="39">
        <v>0.9</v>
      </c>
      <c r="P33" s="39">
        <v>0.30480000000000002</v>
      </c>
      <c r="Q33" s="24"/>
      <c r="R33" s="24"/>
      <c r="S33" s="24"/>
      <c r="T33" s="24"/>
      <c r="U33" s="24"/>
      <c r="V33" s="24"/>
      <c r="W33" s="49" t="s">
        <v>172</v>
      </c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</row>
    <row r="34" spans="1:54" s="33" customFormat="1" ht="20.100000000000001" customHeight="1" x14ac:dyDescent="0.25">
      <c r="A34" s="46"/>
      <c r="B34" s="35" t="s">
        <v>173</v>
      </c>
      <c r="C34" s="41">
        <v>4114.8</v>
      </c>
      <c r="D34" s="19">
        <v>0</v>
      </c>
      <c r="E34" s="19">
        <v>0</v>
      </c>
      <c r="F34" s="37" t="s">
        <v>46</v>
      </c>
      <c r="G34" s="38">
        <v>905.52593087999992</v>
      </c>
      <c r="H34" s="39">
        <v>4.8768000000000002</v>
      </c>
      <c r="I34" s="40">
        <v>13.627915596330276</v>
      </c>
      <c r="J34" s="41">
        <v>66.446399999999997</v>
      </c>
      <c r="K34" s="42">
        <v>90</v>
      </c>
      <c r="L34" s="39"/>
      <c r="M34" s="39" t="s">
        <v>45</v>
      </c>
      <c r="N34" s="39" t="s">
        <v>45</v>
      </c>
      <c r="O34" s="39">
        <v>0.9</v>
      </c>
      <c r="P34" s="39">
        <v>0.30480000000000002</v>
      </c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</row>
    <row r="35" spans="1:54" s="33" customFormat="1" ht="20.100000000000001" customHeight="1" x14ac:dyDescent="0.25">
      <c r="A35" s="46"/>
      <c r="B35" s="35" t="s">
        <v>174</v>
      </c>
      <c r="C35" s="41">
        <v>4267.2</v>
      </c>
      <c r="D35" s="19">
        <v>0</v>
      </c>
      <c r="E35" s="19">
        <v>0</v>
      </c>
      <c r="F35" s="37" t="s">
        <v>46</v>
      </c>
      <c r="G35" s="38">
        <v>505.29963455999996</v>
      </c>
      <c r="H35" s="39">
        <v>4.8768000000000002</v>
      </c>
      <c r="I35" s="40">
        <v>36.880800000000001</v>
      </c>
      <c r="J35" s="41">
        <v>13.700885950413223</v>
      </c>
      <c r="K35" s="42">
        <v>180</v>
      </c>
      <c r="L35" s="39"/>
      <c r="M35" s="39" t="s">
        <v>45</v>
      </c>
      <c r="N35" s="39" t="s">
        <v>45</v>
      </c>
      <c r="O35" s="39">
        <v>0.9</v>
      </c>
      <c r="P35" s="39">
        <v>0.30480000000000002</v>
      </c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</row>
    <row r="36" spans="1:54" s="33" customFormat="1" ht="20.100000000000001" customHeight="1" x14ac:dyDescent="0.25">
      <c r="A36" s="46"/>
      <c r="B36" s="35" t="s">
        <v>175</v>
      </c>
      <c r="C36" s="41">
        <v>4419.6000000000004</v>
      </c>
      <c r="D36" s="19">
        <v>0</v>
      </c>
      <c r="E36" s="19">
        <v>0</v>
      </c>
      <c r="F36" s="37" t="s">
        <v>45</v>
      </c>
      <c r="G36" s="38">
        <v>657.19610496000007</v>
      </c>
      <c r="H36" s="39">
        <v>4.8768000000000002</v>
      </c>
      <c r="I36" s="40">
        <v>19.507200000000001</v>
      </c>
      <c r="J36" s="41">
        <v>33.689925000000002</v>
      </c>
      <c r="K36" s="42"/>
      <c r="L36" s="39"/>
      <c r="M36" s="39" t="s">
        <v>45</v>
      </c>
      <c r="N36" s="39" t="s">
        <v>45</v>
      </c>
      <c r="O36" s="39">
        <v>0.9</v>
      </c>
      <c r="P36" s="39">
        <v>0.30480000000000002</v>
      </c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</row>
    <row r="37" spans="1:54" s="33" customFormat="1" ht="20.100000000000001" customHeight="1" x14ac:dyDescent="0.25">
      <c r="A37" s="46"/>
      <c r="B37" s="35" t="s">
        <v>176</v>
      </c>
      <c r="C37" s="41">
        <v>4572</v>
      </c>
      <c r="D37" s="19">
        <v>0</v>
      </c>
      <c r="E37" s="19">
        <v>0</v>
      </c>
      <c r="F37" s="37" t="s">
        <v>45</v>
      </c>
      <c r="G37" s="38">
        <v>589.56269184000007</v>
      </c>
      <c r="H37" s="39">
        <v>4.8768000000000002</v>
      </c>
      <c r="I37" s="40">
        <v>19.507200000000001</v>
      </c>
      <c r="J37" s="41">
        <v>30.222825</v>
      </c>
      <c r="K37" s="42"/>
      <c r="L37" s="39"/>
      <c r="M37" s="39" t="s">
        <v>45</v>
      </c>
      <c r="N37" s="39" t="s">
        <v>45</v>
      </c>
      <c r="O37" s="39">
        <v>0.9</v>
      </c>
      <c r="P37" s="39">
        <v>0.30480000000000002</v>
      </c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</row>
    <row r="38" spans="1:54" s="33" customFormat="1" ht="20.100000000000001" customHeight="1" x14ac:dyDescent="0.25">
      <c r="A38" s="46"/>
      <c r="B38" s="35" t="s">
        <v>177</v>
      </c>
      <c r="C38" s="41">
        <v>4724.3999999999996</v>
      </c>
      <c r="D38" s="19">
        <v>0</v>
      </c>
      <c r="E38" s="19">
        <v>0</v>
      </c>
      <c r="F38" s="39" t="s">
        <v>46</v>
      </c>
      <c r="G38" s="38">
        <v>975.94643520000011</v>
      </c>
      <c r="H38" s="39">
        <v>4.8768000000000002</v>
      </c>
      <c r="I38" s="40">
        <v>12.082732075471698</v>
      </c>
      <c r="J38" s="41">
        <v>80.772000000000006</v>
      </c>
      <c r="K38" s="42">
        <v>270</v>
      </c>
      <c r="L38" s="39"/>
      <c r="M38" s="39" t="s">
        <v>45</v>
      </c>
      <c r="N38" s="39" t="s">
        <v>45</v>
      </c>
      <c r="O38" s="39">
        <v>0.9</v>
      </c>
      <c r="P38" s="39">
        <v>0.30480000000000002</v>
      </c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</row>
    <row r="39" spans="1:54" s="33" customFormat="1" ht="20.100000000000001" customHeight="1" x14ac:dyDescent="0.25">
      <c r="A39" s="46"/>
      <c r="B39" s="35" t="s">
        <v>178</v>
      </c>
      <c r="C39" s="41">
        <v>4876.8</v>
      </c>
      <c r="D39" s="19">
        <v>0</v>
      </c>
      <c r="E39" s="19">
        <v>0</v>
      </c>
      <c r="F39" s="39" t="s">
        <v>46</v>
      </c>
      <c r="G39" s="38">
        <v>522.30089088</v>
      </c>
      <c r="H39" s="39">
        <v>4.8768000000000002</v>
      </c>
      <c r="I39" s="40">
        <v>36.880800000000001</v>
      </c>
      <c r="J39" s="41">
        <v>14.161864462809918</v>
      </c>
      <c r="K39" s="42">
        <v>0</v>
      </c>
      <c r="L39" s="39"/>
      <c r="M39" s="39" t="s">
        <v>45</v>
      </c>
      <c r="N39" s="39" t="s">
        <v>45</v>
      </c>
      <c r="O39" s="39">
        <v>0.9</v>
      </c>
      <c r="P39" s="39">
        <v>0.30480000000000002</v>
      </c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</row>
    <row r="40" spans="1:54" s="33" customFormat="1" ht="20.100000000000001" customHeight="1" x14ac:dyDescent="0.25">
      <c r="A40" s="46"/>
      <c r="B40" s="35" t="s">
        <v>179</v>
      </c>
      <c r="C40" s="41">
        <v>5029.2</v>
      </c>
      <c r="D40" s="19">
        <v>0</v>
      </c>
      <c r="E40" s="19">
        <v>0</v>
      </c>
      <c r="F40" s="37" t="s">
        <v>46</v>
      </c>
      <c r="G40" s="38">
        <v>905.52593087999992</v>
      </c>
      <c r="H40" s="39">
        <v>4.8768000000000002</v>
      </c>
      <c r="I40" s="40">
        <v>13.627915596330276</v>
      </c>
      <c r="J40" s="41">
        <v>66.446399999999997</v>
      </c>
      <c r="K40" s="42">
        <v>90</v>
      </c>
      <c r="L40" s="39"/>
      <c r="M40" s="39" t="s">
        <v>45</v>
      </c>
      <c r="N40" s="39" t="s">
        <v>45</v>
      </c>
      <c r="O40" s="39">
        <v>0.9</v>
      </c>
      <c r="P40" s="39">
        <v>0.30480000000000002</v>
      </c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</row>
    <row r="41" spans="1:54" s="33" customFormat="1" ht="20.100000000000001" customHeight="1" x14ac:dyDescent="0.25">
      <c r="A41" s="46"/>
      <c r="B41" s="35" t="s">
        <v>180</v>
      </c>
      <c r="C41" s="41">
        <v>5181.6000000000004</v>
      </c>
      <c r="D41" s="19">
        <v>0</v>
      </c>
      <c r="E41" s="19">
        <v>0</v>
      </c>
      <c r="F41" s="37" t="s">
        <v>46</v>
      </c>
      <c r="G41" s="38">
        <v>505.29963455999996</v>
      </c>
      <c r="H41" s="39">
        <v>4.8768000000000002</v>
      </c>
      <c r="I41" s="40">
        <v>36.880800000000001</v>
      </c>
      <c r="J41" s="41">
        <v>13.700885950413223</v>
      </c>
      <c r="K41" s="42">
        <v>180</v>
      </c>
      <c r="L41" s="39"/>
      <c r="M41" s="39" t="s">
        <v>45</v>
      </c>
      <c r="N41" s="39" t="s">
        <v>45</v>
      </c>
      <c r="O41" s="39">
        <v>0.9</v>
      </c>
      <c r="P41" s="39">
        <v>0.30480000000000002</v>
      </c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</row>
    <row r="42" spans="1:54" s="33" customFormat="1" ht="20.100000000000001" customHeight="1" x14ac:dyDescent="0.25">
      <c r="A42" s="46"/>
      <c r="B42" s="35" t="s">
        <v>181</v>
      </c>
      <c r="C42" s="41">
        <v>5334</v>
      </c>
      <c r="D42" s="19">
        <v>0</v>
      </c>
      <c r="E42" s="19">
        <v>0</v>
      </c>
      <c r="F42" s="37" t="s">
        <v>45</v>
      </c>
      <c r="G42" s="38">
        <v>657.19610496000007</v>
      </c>
      <c r="H42" s="39">
        <v>4.8768000000000002</v>
      </c>
      <c r="I42" s="40">
        <v>19.507200000000001</v>
      </c>
      <c r="J42" s="41">
        <v>33.689925000000002</v>
      </c>
      <c r="K42" s="42"/>
      <c r="L42" s="39"/>
      <c r="M42" s="39" t="s">
        <v>45</v>
      </c>
      <c r="N42" s="39" t="s">
        <v>45</v>
      </c>
      <c r="O42" s="39">
        <v>0.9</v>
      </c>
      <c r="P42" s="39">
        <v>0.30480000000000002</v>
      </c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</row>
    <row r="43" spans="1:54" s="33" customFormat="1" ht="20.100000000000001" customHeight="1" x14ac:dyDescent="0.25">
      <c r="A43" s="46"/>
      <c r="B43" s="35" t="s">
        <v>182</v>
      </c>
      <c r="C43" s="41">
        <v>5486.4</v>
      </c>
      <c r="D43" s="19">
        <v>0</v>
      </c>
      <c r="E43" s="19">
        <v>0</v>
      </c>
      <c r="F43" s="37" t="s">
        <v>45</v>
      </c>
      <c r="G43" s="38">
        <v>589.56269184000007</v>
      </c>
      <c r="H43" s="39">
        <v>4.8768000000000002</v>
      </c>
      <c r="I43" s="40">
        <v>19.507200000000001</v>
      </c>
      <c r="J43" s="41">
        <v>30.222825</v>
      </c>
      <c r="K43" s="42"/>
      <c r="L43" s="39"/>
      <c r="M43" s="39" t="s">
        <v>45</v>
      </c>
      <c r="N43" s="39" t="s">
        <v>45</v>
      </c>
      <c r="O43" s="39">
        <v>0.9</v>
      </c>
      <c r="P43" s="39">
        <v>0.30480000000000002</v>
      </c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</row>
    <row r="44" spans="1:54" s="33" customFormat="1" ht="20.100000000000001" customHeight="1" x14ac:dyDescent="0.25">
      <c r="A44" s="46"/>
      <c r="B44" s="35" t="s">
        <v>183</v>
      </c>
      <c r="C44" s="41">
        <v>5638.8</v>
      </c>
      <c r="D44" s="19">
        <v>0</v>
      </c>
      <c r="E44" s="19">
        <v>0</v>
      </c>
      <c r="F44" s="39" t="s">
        <v>46</v>
      </c>
      <c r="G44" s="38">
        <v>1477.71575424</v>
      </c>
      <c r="H44" s="39">
        <v>10.058400000000001</v>
      </c>
      <c r="I44" s="40">
        <v>18.29490113207547</v>
      </c>
      <c r="J44" s="41">
        <v>80.772000000000006</v>
      </c>
      <c r="K44" s="42">
        <v>270</v>
      </c>
      <c r="L44" s="39"/>
      <c r="M44" s="39" t="s">
        <v>46</v>
      </c>
      <c r="N44" s="39" t="s">
        <v>45</v>
      </c>
      <c r="O44" s="39">
        <v>0.9</v>
      </c>
      <c r="P44" s="39">
        <v>0.30480000000000002</v>
      </c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</row>
    <row r="45" spans="1:54" s="33" customFormat="1" ht="20.100000000000001" customHeight="1" x14ac:dyDescent="0.25">
      <c r="A45" s="46"/>
      <c r="B45" s="35" t="s">
        <v>184</v>
      </c>
      <c r="C45" s="41">
        <v>5791.2</v>
      </c>
      <c r="D45" s="19">
        <v>0</v>
      </c>
      <c r="E45" s="19">
        <v>0</v>
      </c>
      <c r="F45" s="39" t="s">
        <v>46</v>
      </c>
      <c r="G45" s="38">
        <v>546.92019647999996</v>
      </c>
      <c r="H45" s="39">
        <v>10.058400000000001</v>
      </c>
      <c r="I45" s="40">
        <v>22.555199999999999</v>
      </c>
      <c r="J45" s="41">
        <v>24.248075675675675</v>
      </c>
      <c r="K45" s="42">
        <v>90</v>
      </c>
      <c r="L45" s="39"/>
      <c r="M45" s="39" t="s">
        <v>46</v>
      </c>
      <c r="N45" s="39" t="s">
        <v>45</v>
      </c>
      <c r="O45" s="39">
        <v>0.9</v>
      </c>
      <c r="P45" s="39">
        <v>0.30480000000000002</v>
      </c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</row>
    <row r="46" spans="1:54" s="33" customFormat="1" ht="20.100000000000001" customHeight="1" x14ac:dyDescent="0.25">
      <c r="A46" s="46"/>
      <c r="B46" s="35" t="s">
        <v>185</v>
      </c>
      <c r="C46" s="41">
        <v>5943.6</v>
      </c>
      <c r="D46" s="19">
        <v>0</v>
      </c>
      <c r="E46" s="19">
        <v>0</v>
      </c>
      <c r="F46" s="37" t="s">
        <v>46</v>
      </c>
      <c r="G46" s="38">
        <v>342.62641151999998</v>
      </c>
      <c r="H46" s="39">
        <v>10.058400000000001</v>
      </c>
      <c r="I46" s="40">
        <v>7.8608559440559436</v>
      </c>
      <c r="J46" s="41">
        <v>43.586399999999998</v>
      </c>
      <c r="K46" s="42">
        <v>90</v>
      </c>
      <c r="L46" s="39"/>
      <c r="M46" s="39" t="s">
        <v>46</v>
      </c>
      <c r="N46" s="39" t="s">
        <v>45</v>
      </c>
      <c r="O46" s="39">
        <v>0.9</v>
      </c>
      <c r="P46" s="39">
        <v>0.30480000000000002</v>
      </c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</row>
    <row r="47" spans="1:54" s="33" customFormat="1" ht="20.100000000000001" customHeight="1" x14ac:dyDescent="0.25">
      <c r="A47" s="46"/>
      <c r="B47" s="35"/>
      <c r="C47" s="41"/>
      <c r="D47" s="39"/>
      <c r="E47" s="39"/>
      <c r="F47" s="37"/>
      <c r="G47" s="38"/>
      <c r="H47" s="39"/>
      <c r="I47" s="40"/>
      <c r="J47" s="41"/>
      <c r="K47" s="42"/>
      <c r="L47" s="39"/>
      <c r="M47" s="39"/>
      <c r="N47" s="39"/>
      <c r="O47" s="39"/>
      <c r="P47" s="39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</row>
    <row r="48" spans="1:54" s="33" customFormat="1" ht="20.100000000000001" customHeight="1" x14ac:dyDescent="0.25">
      <c r="A48" s="46"/>
      <c r="B48" s="35"/>
      <c r="C48" s="41"/>
      <c r="D48" s="39"/>
      <c r="E48" s="39"/>
      <c r="F48" s="37"/>
      <c r="G48" s="38"/>
      <c r="H48" s="39"/>
      <c r="I48" s="40"/>
      <c r="J48" s="41"/>
      <c r="K48" s="42"/>
      <c r="L48" s="39"/>
      <c r="M48" s="39"/>
      <c r="N48" s="39"/>
      <c r="O48" s="39"/>
      <c r="P48" s="39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</row>
    <row r="49" spans="1:54" s="33" customFormat="1" ht="20.100000000000001" customHeight="1" x14ac:dyDescent="0.25">
      <c r="A49" s="46"/>
      <c r="B49" s="35"/>
      <c r="C49" s="41"/>
      <c r="D49" s="39"/>
      <c r="E49" s="39"/>
      <c r="F49" s="37"/>
      <c r="G49" s="38"/>
      <c r="H49" s="39"/>
      <c r="I49" s="40"/>
      <c r="J49" s="41"/>
      <c r="K49" s="42"/>
      <c r="L49" s="39"/>
      <c r="M49" s="39"/>
      <c r="N49" s="39"/>
      <c r="O49" s="39"/>
      <c r="P49" s="39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</row>
    <row r="50" spans="1:54" s="33" customFormat="1" ht="20.100000000000001" customHeight="1" x14ac:dyDescent="0.25">
      <c r="A50" s="46"/>
      <c r="B50" s="35"/>
      <c r="C50" s="41"/>
      <c r="D50" s="39"/>
      <c r="E50" s="39"/>
      <c r="F50" s="39"/>
      <c r="G50" s="38"/>
      <c r="H50" s="39"/>
      <c r="I50" s="40"/>
      <c r="J50" s="41"/>
      <c r="K50" s="42"/>
      <c r="L50" s="39"/>
      <c r="M50" s="39"/>
      <c r="N50" s="39"/>
      <c r="O50" s="39"/>
      <c r="P50" s="39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</row>
    <row r="51" spans="1:54" s="33" customFormat="1" ht="20.100000000000001" customHeight="1" x14ac:dyDescent="0.25">
      <c r="A51" s="46"/>
      <c r="B51" s="35"/>
      <c r="C51" s="41"/>
      <c r="D51" s="39"/>
      <c r="E51" s="39"/>
      <c r="F51" s="39"/>
      <c r="G51" s="38"/>
      <c r="H51" s="39"/>
      <c r="I51" s="40"/>
      <c r="J51" s="41"/>
      <c r="K51" s="42"/>
      <c r="L51" s="39"/>
      <c r="M51" s="39"/>
      <c r="N51" s="39"/>
      <c r="O51" s="39"/>
      <c r="P51" s="39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</row>
    <row r="52" spans="1:54" s="33" customFormat="1" ht="20.100000000000001" customHeight="1" x14ac:dyDescent="0.25">
      <c r="A52" s="46"/>
      <c r="B52" s="35"/>
      <c r="C52" s="41"/>
      <c r="D52" s="39"/>
      <c r="E52" s="39"/>
      <c r="F52" s="37"/>
      <c r="G52" s="38"/>
      <c r="H52" s="39"/>
      <c r="I52" s="40"/>
      <c r="J52" s="41"/>
      <c r="K52" s="42"/>
      <c r="L52" s="39"/>
      <c r="M52" s="39"/>
      <c r="N52" s="39"/>
      <c r="O52" s="39"/>
      <c r="P52" s="39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</row>
    <row r="53" spans="1:54" s="33" customFormat="1" ht="20.100000000000001" customHeight="1" x14ac:dyDescent="0.25">
      <c r="A53" s="46"/>
      <c r="B53" s="35"/>
      <c r="C53" s="41"/>
      <c r="D53" s="39"/>
      <c r="E53" s="39"/>
      <c r="F53" s="37"/>
      <c r="G53" s="38"/>
      <c r="H53" s="39"/>
      <c r="I53" s="40"/>
      <c r="J53" s="41"/>
      <c r="K53" s="42"/>
      <c r="L53" s="39"/>
      <c r="M53" s="39"/>
      <c r="N53" s="39"/>
      <c r="O53" s="39"/>
      <c r="P53" s="39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</row>
    <row r="54" spans="1:54" s="33" customFormat="1" ht="20.100000000000001" customHeight="1" x14ac:dyDescent="0.25">
      <c r="A54" s="46"/>
      <c r="B54" s="35"/>
      <c r="C54" s="41"/>
      <c r="D54" s="39"/>
      <c r="E54" s="39"/>
      <c r="F54" s="37"/>
      <c r="G54" s="38"/>
      <c r="H54" s="39"/>
      <c r="I54" s="40"/>
      <c r="J54" s="41"/>
      <c r="K54" s="42"/>
      <c r="L54" s="39"/>
      <c r="M54" s="39"/>
      <c r="N54" s="39"/>
      <c r="O54" s="39"/>
      <c r="P54" s="39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</row>
    <row r="55" spans="1:54" s="33" customFormat="1" ht="20.100000000000001" customHeight="1" x14ac:dyDescent="0.25">
      <c r="A55" s="46"/>
      <c r="B55" s="35"/>
      <c r="C55" s="41"/>
      <c r="D55" s="39"/>
      <c r="E55" s="39"/>
      <c r="F55" s="37"/>
      <c r="G55" s="38"/>
      <c r="H55" s="39"/>
      <c r="I55" s="40"/>
      <c r="J55" s="41"/>
      <c r="K55" s="42"/>
      <c r="L55" s="39"/>
      <c r="M55" s="39"/>
      <c r="N55" s="39"/>
      <c r="O55" s="39"/>
      <c r="P55" s="39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</row>
    <row r="56" spans="1:54" s="33" customFormat="1" ht="20.100000000000001" customHeight="1" x14ac:dyDescent="0.25">
      <c r="A56" s="46"/>
      <c r="B56" s="35"/>
      <c r="C56" s="41"/>
      <c r="D56" s="39"/>
      <c r="E56" s="39"/>
      <c r="F56" s="39"/>
      <c r="G56" s="38"/>
      <c r="H56" s="39"/>
      <c r="I56" s="40"/>
      <c r="J56" s="41"/>
      <c r="K56" s="42"/>
      <c r="L56" s="39"/>
      <c r="M56" s="39"/>
      <c r="N56" s="39"/>
      <c r="O56" s="39"/>
      <c r="P56" s="39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</row>
    <row r="57" spans="1:54" s="33" customFormat="1" ht="20.100000000000001" customHeight="1" x14ac:dyDescent="0.25">
      <c r="A57" s="46"/>
      <c r="B57" s="35"/>
      <c r="C57" s="41"/>
      <c r="D57" s="39"/>
      <c r="E57" s="39"/>
      <c r="F57" s="39"/>
      <c r="G57" s="38"/>
      <c r="H57" s="39"/>
      <c r="I57" s="40"/>
      <c r="J57" s="41"/>
      <c r="K57" s="42"/>
      <c r="L57" s="39"/>
      <c r="M57" s="39"/>
      <c r="N57" s="39"/>
      <c r="O57" s="39"/>
      <c r="P57" s="39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</row>
    <row r="58" spans="1:54" s="33" customFormat="1" ht="20.100000000000001" customHeight="1" x14ac:dyDescent="0.25">
      <c r="A58" s="46"/>
      <c r="B58" s="35"/>
      <c r="C58" s="41"/>
      <c r="D58" s="39"/>
      <c r="E58" s="39"/>
      <c r="F58" s="37"/>
      <c r="G58" s="38"/>
      <c r="H58" s="39"/>
      <c r="I58" s="40"/>
      <c r="J58" s="41"/>
      <c r="K58" s="42"/>
      <c r="L58" s="39"/>
      <c r="M58" s="39"/>
      <c r="N58" s="39"/>
      <c r="O58" s="39"/>
      <c r="P58" s="39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</row>
    <row r="59" spans="1:54" s="33" customFormat="1" ht="20.100000000000001" customHeight="1" x14ac:dyDescent="0.25">
      <c r="A59" s="46"/>
      <c r="B59" s="35"/>
      <c r="C59" s="41"/>
      <c r="D59" s="39"/>
      <c r="E59" s="39"/>
      <c r="F59" s="37"/>
      <c r="G59" s="38"/>
      <c r="H59" s="39"/>
      <c r="I59" s="40"/>
      <c r="J59" s="41"/>
      <c r="K59" s="42"/>
      <c r="L59" s="39"/>
      <c r="M59" s="39"/>
      <c r="N59" s="39"/>
      <c r="O59" s="39"/>
      <c r="P59" s="39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</row>
    <row r="60" spans="1:54" s="33" customFormat="1" ht="20.100000000000001" customHeight="1" x14ac:dyDescent="0.25">
      <c r="A60" s="46"/>
      <c r="B60" s="35"/>
      <c r="C60" s="41"/>
      <c r="D60" s="39"/>
      <c r="E60" s="39"/>
      <c r="F60" s="37"/>
      <c r="G60" s="38"/>
      <c r="H60" s="39"/>
      <c r="I60" s="40"/>
      <c r="J60" s="41"/>
      <c r="K60" s="42"/>
      <c r="L60" s="39"/>
      <c r="M60" s="39"/>
      <c r="N60" s="39"/>
      <c r="O60" s="39"/>
      <c r="P60" s="39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</row>
    <row r="61" spans="1:54" s="33" customFormat="1" ht="20.100000000000001" customHeight="1" x14ac:dyDescent="0.25">
      <c r="A61" s="46"/>
      <c r="B61" s="35"/>
      <c r="C61" s="41"/>
      <c r="D61" s="39"/>
      <c r="E61" s="39"/>
      <c r="F61" s="37"/>
      <c r="G61" s="38"/>
      <c r="H61" s="39"/>
      <c r="I61" s="40"/>
      <c r="J61" s="41"/>
      <c r="K61" s="42"/>
      <c r="L61" s="39"/>
      <c r="M61" s="39"/>
      <c r="N61" s="39"/>
      <c r="O61" s="39"/>
      <c r="P61" s="39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</row>
    <row r="62" spans="1:54" s="33" customFormat="1" ht="20.100000000000001" customHeight="1" x14ac:dyDescent="0.25">
      <c r="A62" s="46"/>
      <c r="B62" s="35"/>
      <c r="C62" s="41"/>
      <c r="D62" s="39"/>
      <c r="E62" s="39"/>
      <c r="F62" s="39"/>
      <c r="G62" s="38"/>
      <c r="H62" s="39"/>
      <c r="I62" s="40"/>
      <c r="J62" s="41"/>
      <c r="K62" s="42"/>
      <c r="L62" s="39"/>
      <c r="M62" s="39"/>
      <c r="N62" s="39"/>
      <c r="O62" s="39"/>
      <c r="P62" s="39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</row>
    <row r="63" spans="1:54" s="33" customFormat="1" ht="20.100000000000001" customHeight="1" x14ac:dyDescent="0.25">
      <c r="A63" s="46"/>
      <c r="B63" s="35"/>
      <c r="C63" s="41"/>
      <c r="D63" s="39"/>
      <c r="E63" s="39"/>
      <c r="F63" s="39"/>
      <c r="G63" s="38"/>
      <c r="H63" s="39"/>
      <c r="I63" s="40"/>
      <c r="J63" s="41"/>
      <c r="K63" s="42"/>
      <c r="L63" s="39"/>
      <c r="M63" s="39"/>
      <c r="N63" s="39"/>
      <c r="O63" s="39"/>
      <c r="P63" s="39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</row>
    <row r="64" spans="1:54" s="33" customFormat="1" ht="20.100000000000001" customHeight="1" x14ac:dyDescent="0.25">
      <c r="A64" s="46"/>
      <c r="B64" s="35"/>
      <c r="C64" s="39"/>
      <c r="D64" s="39"/>
      <c r="E64" s="39"/>
      <c r="F64" s="39"/>
      <c r="G64" s="38"/>
      <c r="H64" s="39"/>
      <c r="I64" s="40"/>
      <c r="J64" s="41"/>
      <c r="K64" s="42"/>
      <c r="L64" s="39"/>
      <c r="M64" s="39"/>
      <c r="N64" s="39"/>
      <c r="O64" s="39"/>
      <c r="P64" s="39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</row>
    <row r="65" spans="1:54" s="33" customFormat="1" ht="20.100000000000001" customHeight="1" x14ac:dyDescent="0.25">
      <c r="A65" s="46"/>
      <c r="B65" s="35"/>
      <c r="C65" s="39"/>
      <c r="D65" s="39"/>
      <c r="E65" s="39"/>
      <c r="F65" s="39"/>
      <c r="G65" s="38"/>
      <c r="H65" s="39"/>
      <c r="I65" s="40"/>
      <c r="J65" s="41"/>
      <c r="K65" s="42"/>
      <c r="L65" s="39"/>
      <c r="M65" s="39"/>
      <c r="N65" s="39"/>
      <c r="O65" s="39"/>
      <c r="P65" s="39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</row>
    <row r="66" spans="1:54" s="33" customFormat="1" ht="20.100000000000001" customHeight="1" x14ac:dyDescent="0.25">
      <c r="A66" s="46"/>
      <c r="B66" s="35"/>
      <c r="C66" s="39"/>
      <c r="D66" s="39"/>
      <c r="E66" s="39"/>
      <c r="F66" s="39"/>
      <c r="G66" s="38"/>
      <c r="H66" s="39"/>
      <c r="I66" s="40"/>
      <c r="J66" s="41"/>
      <c r="K66" s="42"/>
      <c r="L66" s="39"/>
      <c r="M66" s="39"/>
      <c r="N66" s="39"/>
      <c r="O66" s="39"/>
      <c r="P66" s="39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</row>
    <row r="67" spans="1:54" s="33" customFormat="1" ht="20.100000000000001" customHeight="1" x14ac:dyDescent="0.25">
      <c r="A67" s="46"/>
      <c r="B67" s="35"/>
      <c r="C67" s="39"/>
      <c r="D67" s="39"/>
      <c r="E67" s="39"/>
      <c r="F67" s="39"/>
      <c r="G67" s="38"/>
      <c r="H67" s="39"/>
      <c r="I67" s="40"/>
      <c r="J67" s="41"/>
      <c r="K67" s="42"/>
      <c r="L67" s="39"/>
      <c r="M67" s="39"/>
      <c r="N67" s="39"/>
      <c r="O67" s="39"/>
      <c r="P67" s="39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</row>
    <row r="68" spans="1:54" s="33" customFormat="1" ht="20.100000000000001" customHeight="1" x14ac:dyDescent="0.25">
      <c r="A68" s="46"/>
      <c r="B68" s="35"/>
      <c r="C68" s="39"/>
      <c r="D68" s="39"/>
      <c r="E68" s="39"/>
      <c r="F68" s="39"/>
      <c r="G68" s="38"/>
      <c r="H68" s="39"/>
      <c r="I68" s="40"/>
      <c r="J68" s="41"/>
      <c r="K68" s="42"/>
      <c r="L68" s="39"/>
      <c r="M68" s="39"/>
      <c r="N68" s="39"/>
      <c r="O68" s="39"/>
      <c r="P68" s="39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</row>
    <row r="69" spans="1:54" s="33" customFormat="1" ht="20.100000000000001" customHeight="1" x14ac:dyDescent="0.25">
      <c r="A69" s="46"/>
      <c r="B69" s="35"/>
      <c r="C69" s="39"/>
      <c r="D69" s="39"/>
      <c r="E69" s="39"/>
      <c r="F69" s="39"/>
      <c r="G69" s="38"/>
      <c r="H69" s="39"/>
      <c r="I69" s="40"/>
      <c r="J69" s="41"/>
      <c r="K69" s="42"/>
      <c r="L69" s="39"/>
      <c r="M69" s="39"/>
      <c r="N69" s="39"/>
      <c r="O69" s="39"/>
      <c r="P69" s="39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</row>
    <row r="70" spans="1:54" s="33" customFormat="1" ht="20.100000000000001" customHeight="1" x14ac:dyDescent="0.25">
      <c r="A70" s="46"/>
      <c r="B70" s="35"/>
      <c r="C70" s="39"/>
      <c r="D70" s="39"/>
      <c r="E70" s="39"/>
      <c r="F70" s="39"/>
      <c r="G70" s="38"/>
      <c r="H70" s="39"/>
      <c r="I70" s="40"/>
      <c r="J70" s="41"/>
      <c r="K70" s="42"/>
      <c r="L70" s="39"/>
      <c r="M70" s="39"/>
      <c r="N70" s="39"/>
      <c r="O70" s="39"/>
      <c r="P70" s="39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</row>
    <row r="71" spans="1:54" s="33" customFormat="1" ht="20.100000000000001" customHeight="1" x14ac:dyDescent="0.25">
      <c r="A71" s="46"/>
      <c r="B71" s="35"/>
      <c r="C71" s="39"/>
      <c r="D71" s="39"/>
      <c r="E71" s="39"/>
      <c r="F71" s="39"/>
      <c r="G71" s="38"/>
      <c r="H71" s="39"/>
      <c r="I71" s="40"/>
      <c r="J71" s="41"/>
      <c r="K71" s="42"/>
      <c r="L71" s="39"/>
      <c r="M71" s="39"/>
      <c r="N71" s="39"/>
      <c r="O71" s="39"/>
      <c r="P71" s="39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</row>
    <row r="72" spans="1:54" s="33" customFormat="1" ht="20.100000000000001" customHeight="1" x14ac:dyDescent="0.25">
      <c r="A72" s="46"/>
      <c r="B72" s="35"/>
      <c r="C72" s="39"/>
      <c r="D72" s="39"/>
      <c r="E72" s="39"/>
      <c r="F72" s="39"/>
      <c r="G72" s="38"/>
      <c r="H72" s="39"/>
      <c r="I72" s="40"/>
      <c r="J72" s="41"/>
      <c r="K72" s="42"/>
      <c r="L72" s="39"/>
      <c r="M72" s="39"/>
      <c r="N72" s="39"/>
      <c r="O72" s="39"/>
      <c r="P72" s="39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</row>
    <row r="73" spans="1:54" s="33" customFormat="1" ht="20.100000000000001" customHeight="1" x14ac:dyDescent="0.25">
      <c r="A73" s="46"/>
      <c r="B73" s="35"/>
      <c r="C73" s="39"/>
      <c r="D73" s="39"/>
      <c r="E73" s="39"/>
      <c r="F73" s="39"/>
      <c r="G73" s="38"/>
      <c r="H73" s="39"/>
      <c r="I73" s="40"/>
      <c r="J73" s="41"/>
      <c r="K73" s="42"/>
      <c r="L73" s="39"/>
      <c r="M73" s="39"/>
      <c r="N73" s="39"/>
      <c r="O73" s="39"/>
      <c r="P73" s="39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</row>
    <row r="74" spans="1:54" s="33" customFormat="1" ht="20.100000000000001" customHeight="1" x14ac:dyDescent="0.25">
      <c r="A74" s="46"/>
      <c r="B74" s="35"/>
      <c r="C74" s="39"/>
      <c r="D74" s="39"/>
      <c r="E74" s="39"/>
      <c r="F74" s="39"/>
      <c r="G74" s="38"/>
      <c r="H74" s="39"/>
      <c r="I74" s="40"/>
      <c r="J74" s="41"/>
      <c r="K74" s="42"/>
      <c r="L74" s="39"/>
      <c r="M74" s="39"/>
      <c r="N74" s="39"/>
      <c r="O74" s="39"/>
      <c r="P74" s="39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</row>
    <row r="75" spans="1:54" s="33" customFormat="1" ht="20.100000000000001" customHeight="1" x14ac:dyDescent="0.25">
      <c r="A75" s="46"/>
      <c r="B75" s="35"/>
      <c r="C75" s="39"/>
      <c r="D75" s="39"/>
      <c r="E75" s="39"/>
      <c r="F75" s="39"/>
      <c r="G75" s="38"/>
      <c r="H75" s="39"/>
      <c r="I75" s="40"/>
      <c r="J75" s="41"/>
      <c r="K75" s="42"/>
      <c r="L75" s="39"/>
      <c r="M75" s="39"/>
      <c r="N75" s="39"/>
      <c r="O75" s="39"/>
      <c r="P75" s="39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</row>
    <row r="76" spans="1:54" s="33" customFormat="1" ht="20.100000000000001" customHeight="1" x14ac:dyDescent="0.25">
      <c r="A76" s="46"/>
      <c r="B76" s="35"/>
      <c r="C76" s="39"/>
      <c r="D76" s="39"/>
      <c r="E76" s="39"/>
      <c r="F76" s="39"/>
      <c r="G76" s="38"/>
      <c r="H76" s="39"/>
      <c r="I76" s="40"/>
      <c r="J76" s="41"/>
      <c r="K76" s="42"/>
      <c r="L76" s="39"/>
      <c r="M76" s="39"/>
      <c r="N76" s="39"/>
      <c r="O76" s="39"/>
      <c r="P76" s="39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</row>
    <row r="77" spans="1:54" s="33" customFormat="1" ht="20.100000000000001" customHeight="1" x14ac:dyDescent="0.25">
      <c r="A77" s="46"/>
      <c r="B77" s="35"/>
      <c r="C77" s="39"/>
      <c r="D77" s="39"/>
      <c r="E77" s="39"/>
      <c r="F77" s="39"/>
      <c r="G77" s="38"/>
      <c r="H77" s="39"/>
      <c r="I77" s="40"/>
      <c r="J77" s="41"/>
      <c r="K77" s="42"/>
      <c r="L77" s="39"/>
      <c r="M77" s="39"/>
      <c r="N77" s="39"/>
      <c r="O77" s="39"/>
      <c r="P77" s="39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</row>
    <row r="78" spans="1:54" s="33" customFormat="1" ht="20.100000000000001" customHeight="1" x14ac:dyDescent="0.25">
      <c r="A78" s="46"/>
      <c r="B78" s="35"/>
      <c r="C78" s="39"/>
      <c r="D78" s="39"/>
      <c r="E78" s="39"/>
      <c r="F78" s="39"/>
      <c r="G78" s="38"/>
      <c r="H78" s="39"/>
      <c r="I78" s="40"/>
      <c r="J78" s="41"/>
      <c r="K78" s="42"/>
      <c r="L78" s="39"/>
      <c r="M78" s="39"/>
      <c r="N78" s="39"/>
      <c r="O78" s="39"/>
      <c r="P78" s="39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</row>
    <row r="79" spans="1:54" s="33" customFormat="1" ht="20.100000000000001" customHeight="1" x14ac:dyDescent="0.25">
      <c r="A79" s="46"/>
      <c r="B79" s="35"/>
      <c r="C79" s="39"/>
      <c r="D79" s="39"/>
      <c r="E79" s="39"/>
      <c r="F79" s="39"/>
      <c r="G79" s="38"/>
      <c r="H79" s="39"/>
      <c r="I79" s="40"/>
      <c r="J79" s="41"/>
      <c r="K79" s="42"/>
      <c r="L79" s="39"/>
      <c r="M79" s="39"/>
      <c r="N79" s="39"/>
      <c r="O79" s="39"/>
      <c r="P79" s="39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</row>
    <row r="80" spans="1:54" s="33" customFormat="1" ht="20.100000000000001" customHeight="1" x14ac:dyDescent="0.25">
      <c r="A80" s="46"/>
      <c r="B80" s="35"/>
      <c r="C80" s="39"/>
      <c r="D80" s="39"/>
      <c r="E80" s="39"/>
      <c r="F80" s="39"/>
      <c r="G80" s="38"/>
      <c r="H80" s="39"/>
      <c r="I80" s="40"/>
      <c r="J80" s="41"/>
      <c r="K80" s="42"/>
      <c r="L80" s="39"/>
      <c r="M80" s="39"/>
      <c r="N80" s="39"/>
      <c r="O80" s="39"/>
      <c r="P80" s="39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</row>
    <row r="81" spans="1:54" s="33" customFormat="1" ht="20.100000000000001" customHeight="1" x14ac:dyDescent="0.25">
      <c r="A81" s="46"/>
      <c r="B81" s="35"/>
      <c r="C81" s="39"/>
      <c r="D81" s="39"/>
      <c r="E81" s="39"/>
      <c r="F81" s="39"/>
      <c r="G81" s="38"/>
      <c r="H81" s="39"/>
      <c r="I81" s="40"/>
      <c r="J81" s="41"/>
      <c r="K81" s="42"/>
      <c r="L81" s="39"/>
      <c r="M81" s="39"/>
      <c r="N81" s="39"/>
      <c r="O81" s="39"/>
      <c r="P81" s="39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</row>
    <row r="82" spans="1:54" s="33" customFormat="1" ht="20.100000000000001" customHeight="1" x14ac:dyDescent="0.25">
      <c r="A82" s="46"/>
      <c r="B82" s="35"/>
      <c r="C82" s="39"/>
      <c r="D82" s="39"/>
      <c r="E82" s="39"/>
      <c r="F82" s="39"/>
      <c r="G82" s="38"/>
      <c r="H82" s="39"/>
      <c r="I82" s="40"/>
      <c r="J82" s="41"/>
      <c r="K82" s="42"/>
      <c r="L82" s="39"/>
      <c r="M82" s="39"/>
      <c r="N82" s="39"/>
      <c r="O82" s="39"/>
      <c r="P82" s="39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</row>
    <row r="83" spans="1:54" s="33" customFormat="1" ht="20.100000000000001" customHeight="1" x14ac:dyDescent="0.25">
      <c r="A83" s="46"/>
      <c r="B83" s="35"/>
      <c r="C83" s="39"/>
      <c r="D83" s="39"/>
      <c r="E83" s="39"/>
      <c r="F83" s="39"/>
      <c r="G83" s="38"/>
      <c r="H83" s="39"/>
      <c r="I83" s="40"/>
      <c r="J83" s="41"/>
      <c r="K83" s="42"/>
      <c r="L83" s="39"/>
      <c r="M83" s="39"/>
      <c r="N83" s="39"/>
      <c r="O83" s="39"/>
      <c r="P83" s="39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</row>
    <row r="84" spans="1:54" s="33" customFormat="1" ht="20.100000000000001" customHeight="1" x14ac:dyDescent="0.25">
      <c r="A84" s="46"/>
      <c r="B84" s="35"/>
      <c r="C84" s="39"/>
      <c r="D84" s="39"/>
      <c r="E84" s="39"/>
      <c r="F84" s="39"/>
      <c r="G84" s="38"/>
      <c r="H84" s="39"/>
      <c r="I84" s="40"/>
      <c r="J84" s="41"/>
      <c r="K84" s="42"/>
      <c r="L84" s="39"/>
      <c r="M84" s="39"/>
      <c r="N84" s="39"/>
      <c r="O84" s="39"/>
      <c r="P84" s="39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</row>
    <row r="85" spans="1:54" s="33" customFormat="1" ht="20.100000000000001" customHeight="1" x14ac:dyDescent="0.25">
      <c r="A85" s="46"/>
      <c r="B85" s="35"/>
      <c r="C85" s="39"/>
      <c r="D85" s="39"/>
      <c r="E85" s="39"/>
      <c r="F85" s="39"/>
      <c r="G85" s="38"/>
      <c r="H85" s="39"/>
      <c r="I85" s="40"/>
      <c r="J85" s="41"/>
      <c r="K85" s="42"/>
      <c r="L85" s="39"/>
      <c r="M85" s="39"/>
      <c r="N85" s="39"/>
      <c r="O85" s="39"/>
      <c r="P85" s="39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</row>
    <row r="86" spans="1:54" s="33" customFormat="1" ht="20.100000000000001" customHeight="1" x14ac:dyDescent="0.25">
      <c r="A86" s="46"/>
      <c r="B86" s="35"/>
      <c r="C86" s="39"/>
      <c r="D86" s="39"/>
      <c r="E86" s="39"/>
      <c r="F86" s="39"/>
      <c r="G86" s="38"/>
      <c r="H86" s="39"/>
      <c r="I86" s="40"/>
      <c r="J86" s="41"/>
      <c r="K86" s="42"/>
      <c r="L86" s="39"/>
      <c r="M86" s="39"/>
      <c r="N86" s="39"/>
      <c r="O86" s="39"/>
      <c r="P86" s="39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</row>
    <row r="87" spans="1:54" s="33" customFormat="1" ht="20.100000000000001" customHeight="1" x14ac:dyDescent="0.25">
      <c r="A87" s="46"/>
      <c r="B87" s="35"/>
      <c r="C87" s="39"/>
      <c r="D87" s="39"/>
      <c r="E87" s="39"/>
      <c r="F87" s="39"/>
      <c r="G87" s="38"/>
      <c r="H87" s="39"/>
      <c r="I87" s="40"/>
      <c r="J87" s="41"/>
      <c r="K87" s="42"/>
      <c r="L87" s="39"/>
      <c r="M87" s="39"/>
      <c r="N87" s="39"/>
      <c r="O87" s="39"/>
      <c r="P87" s="39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</row>
    <row r="88" spans="1:54" s="33" customFormat="1" ht="20.100000000000001" customHeight="1" x14ac:dyDescent="0.25">
      <c r="A88" s="46"/>
      <c r="B88" s="35"/>
      <c r="C88" s="39"/>
      <c r="D88" s="39"/>
      <c r="E88" s="39"/>
      <c r="F88" s="39"/>
      <c r="G88" s="38"/>
      <c r="H88" s="39"/>
      <c r="I88" s="40"/>
      <c r="J88" s="41"/>
      <c r="K88" s="42"/>
      <c r="L88" s="39"/>
      <c r="M88" s="39"/>
      <c r="N88" s="39"/>
      <c r="O88" s="39"/>
      <c r="P88" s="39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</row>
    <row r="89" spans="1:54" s="33" customFormat="1" ht="20.100000000000001" customHeight="1" x14ac:dyDescent="0.25">
      <c r="A89" s="46"/>
      <c r="B89" s="35"/>
      <c r="C89" s="39"/>
      <c r="D89" s="39"/>
      <c r="E89" s="39"/>
      <c r="F89" s="39"/>
      <c r="G89" s="38"/>
      <c r="H89" s="39"/>
      <c r="I89" s="40"/>
      <c r="J89" s="41"/>
      <c r="K89" s="42"/>
      <c r="L89" s="39"/>
      <c r="M89" s="39"/>
      <c r="N89" s="39"/>
      <c r="O89" s="39"/>
      <c r="P89" s="39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</row>
    <row r="90" spans="1:54" s="33" customFormat="1" ht="20.100000000000001" customHeight="1" x14ac:dyDescent="0.25">
      <c r="A90" s="46"/>
      <c r="B90" s="35"/>
      <c r="C90" s="39"/>
      <c r="D90" s="39"/>
      <c r="E90" s="39"/>
      <c r="F90" s="39"/>
      <c r="G90" s="38"/>
      <c r="H90" s="39"/>
      <c r="I90" s="40"/>
      <c r="J90" s="41"/>
      <c r="K90" s="42"/>
      <c r="L90" s="39"/>
      <c r="M90" s="39"/>
      <c r="N90" s="39"/>
      <c r="O90" s="39"/>
      <c r="P90" s="39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</row>
    <row r="91" spans="1:54" s="33" customFormat="1" ht="20.100000000000001" customHeight="1" x14ac:dyDescent="0.25">
      <c r="A91" s="46"/>
      <c r="B91" s="35"/>
      <c r="C91" s="39"/>
      <c r="D91" s="39"/>
      <c r="E91" s="39"/>
      <c r="F91" s="39"/>
      <c r="G91" s="38"/>
      <c r="H91" s="39"/>
      <c r="I91" s="40"/>
      <c r="J91" s="41"/>
      <c r="K91" s="42"/>
      <c r="L91" s="39"/>
      <c r="M91" s="39"/>
      <c r="N91" s="39"/>
      <c r="O91" s="39"/>
      <c r="P91" s="39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</row>
    <row r="92" spans="1:54" s="33" customFormat="1" ht="20.100000000000001" customHeight="1" x14ac:dyDescent="0.25">
      <c r="A92" s="46"/>
      <c r="B92" s="35"/>
      <c r="C92" s="39"/>
      <c r="D92" s="39"/>
      <c r="E92" s="39"/>
      <c r="F92" s="39"/>
      <c r="G92" s="38"/>
      <c r="H92" s="39"/>
      <c r="I92" s="40"/>
      <c r="J92" s="41"/>
      <c r="K92" s="42"/>
      <c r="L92" s="39"/>
      <c r="M92" s="39"/>
      <c r="N92" s="39"/>
      <c r="O92" s="39"/>
      <c r="P92" s="39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</row>
    <row r="93" spans="1:54" s="33" customFormat="1" ht="20.100000000000001" customHeight="1" x14ac:dyDescent="0.25">
      <c r="A93" s="46"/>
      <c r="B93" s="35"/>
      <c r="C93" s="39"/>
      <c r="D93" s="39"/>
      <c r="E93" s="39"/>
      <c r="F93" s="39"/>
      <c r="G93" s="38"/>
      <c r="H93" s="39"/>
      <c r="I93" s="40"/>
      <c r="J93" s="41"/>
      <c r="K93" s="42"/>
      <c r="L93" s="39"/>
      <c r="M93" s="39"/>
      <c r="N93" s="39"/>
      <c r="O93" s="39"/>
      <c r="P93" s="39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</row>
    <row r="94" spans="1:54" s="33" customFormat="1" ht="20.100000000000001" customHeight="1" x14ac:dyDescent="0.25">
      <c r="A94" s="46"/>
      <c r="B94" s="35"/>
      <c r="C94" s="39"/>
      <c r="D94" s="39"/>
      <c r="E94" s="39"/>
      <c r="F94" s="39"/>
      <c r="G94" s="38"/>
      <c r="H94" s="39"/>
      <c r="I94" s="40"/>
      <c r="J94" s="41"/>
      <c r="K94" s="42"/>
      <c r="L94" s="39"/>
      <c r="M94" s="39"/>
      <c r="N94" s="39"/>
      <c r="O94" s="39"/>
      <c r="P94" s="39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</row>
    <row r="95" spans="1:54" s="33" customFormat="1" ht="20.100000000000001" customHeight="1" x14ac:dyDescent="0.25">
      <c r="A95" s="46"/>
      <c r="B95" s="35"/>
      <c r="C95" s="39"/>
      <c r="D95" s="39"/>
      <c r="E95" s="39"/>
      <c r="F95" s="39"/>
      <c r="G95" s="38"/>
      <c r="H95" s="39"/>
      <c r="I95" s="40"/>
      <c r="J95" s="41"/>
      <c r="K95" s="42"/>
      <c r="L95" s="39"/>
      <c r="M95" s="39"/>
      <c r="N95" s="39"/>
      <c r="O95" s="39"/>
      <c r="P95" s="39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</row>
    <row r="96" spans="1:54" s="33" customFormat="1" ht="20.100000000000001" customHeight="1" x14ac:dyDescent="0.25">
      <c r="A96" s="46"/>
      <c r="B96" s="35"/>
      <c r="C96" s="39"/>
      <c r="D96" s="39"/>
      <c r="E96" s="39"/>
      <c r="F96" s="39"/>
      <c r="G96" s="38"/>
      <c r="H96" s="39"/>
      <c r="I96" s="40"/>
      <c r="J96" s="41"/>
      <c r="K96" s="42"/>
      <c r="L96" s="39"/>
      <c r="M96" s="39"/>
      <c r="N96" s="39"/>
      <c r="O96" s="39"/>
      <c r="P96" s="39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4"/>
      <c r="BB96" s="24"/>
    </row>
    <row r="97" spans="1:54" s="33" customFormat="1" ht="20.100000000000001" customHeight="1" x14ac:dyDescent="0.25">
      <c r="A97" s="46"/>
      <c r="B97" s="35"/>
      <c r="C97" s="39"/>
      <c r="D97" s="39"/>
      <c r="E97" s="39"/>
      <c r="F97" s="39"/>
      <c r="G97" s="38"/>
      <c r="H97" s="39"/>
      <c r="I97" s="40"/>
      <c r="J97" s="41"/>
      <c r="K97" s="42"/>
      <c r="L97" s="39"/>
      <c r="M97" s="39"/>
      <c r="N97" s="39"/>
      <c r="O97" s="39"/>
      <c r="P97" s="39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</row>
    <row r="98" spans="1:54" s="33" customFormat="1" ht="20.100000000000001" customHeight="1" x14ac:dyDescent="0.25">
      <c r="A98" s="46"/>
      <c r="B98" s="35"/>
      <c r="C98" s="39"/>
      <c r="D98" s="39"/>
      <c r="E98" s="39"/>
      <c r="F98" s="39"/>
      <c r="G98" s="38"/>
      <c r="H98" s="39"/>
      <c r="I98" s="40"/>
      <c r="J98" s="41"/>
      <c r="K98" s="42"/>
      <c r="L98" s="39"/>
      <c r="M98" s="39"/>
      <c r="N98" s="39"/>
      <c r="O98" s="39"/>
      <c r="P98" s="39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</row>
    <row r="99" spans="1:54" s="33" customFormat="1" ht="20.100000000000001" customHeight="1" x14ac:dyDescent="0.25">
      <c r="A99" s="46"/>
      <c r="B99" s="35"/>
      <c r="C99" s="39"/>
      <c r="D99" s="39"/>
      <c r="E99" s="39"/>
      <c r="F99" s="39"/>
      <c r="G99" s="38"/>
      <c r="H99" s="39"/>
      <c r="I99" s="40"/>
      <c r="J99" s="41"/>
      <c r="K99" s="42"/>
      <c r="L99" s="39"/>
      <c r="M99" s="39"/>
      <c r="N99" s="39"/>
      <c r="O99" s="39"/>
      <c r="P99" s="39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</row>
    <row r="100" spans="1:54" s="33" customFormat="1" ht="20.100000000000001" customHeight="1" x14ac:dyDescent="0.25">
      <c r="A100" s="46"/>
      <c r="B100" s="35"/>
      <c r="C100" s="39"/>
      <c r="D100" s="39"/>
      <c r="E100" s="39"/>
      <c r="F100" s="39"/>
      <c r="G100" s="38"/>
      <c r="H100" s="39"/>
      <c r="I100" s="40"/>
      <c r="J100" s="41"/>
      <c r="K100" s="42"/>
      <c r="L100" s="39"/>
      <c r="M100" s="39"/>
      <c r="N100" s="39"/>
      <c r="O100" s="39"/>
      <c r="P100" s="39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</row>
    <row r="101" spans="1:54" s="33" customFormat="1" ht="20.100000000000001" customHeight="1" x14ac:dyDescent="0.25">
      <c r="A101" s="46"/>
      <c r="B101" s="35"/>
      <c r="C101" s="39"/>
      <c r="D101" s="39"/>
      <c r="E101" s="39"/>
      <c r="F101" s="39"/>
      <c r="G101" s="38"/>
      <c r="H101" s="39"/>
      <c r="I101" s="40"/>
      <c r="J101" s="41"/>
      <c r="K101" s="42"/>
      <c r="L101" s="39"/>
      <c r="M101" s="39"/>
      <c r="N101" s="39"/>
      <c r="O101" s="39"/>
      <c r="P101" s="39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</row>
    <row r="102" spans="1:54" s="33" customFormat="1" ht="20.100000000000001" customHeight="1" x14ac:dyDescent="0.25">
      <c r="A102" s="46"/>
      <c r="B102" s="35"/>
      <c r="C102" s="39"/>
      <c r="D102" s="39"/>
      <c r="E102" s="39"/>
      <c r="F102" s="39"/>
      <c r="G102" s="38"/>
      <c r="H102" s="39"/>
      <c r="I102" s="40"/>
      <c r="J102" s="41"/>
      <c r="K102" s="42"/>
      <c r="L102" s="39"/>
      <c r="M102" s="39"/>
      <c r="N102" s="39"/>
      <c r="O102" s="39"/>
      <c r="P102" s="39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</row>
    <row r="103" spans="1:54" s="33" customFormat="1" ht="20.100000000000001" customHeight="1" x14ac:dyDescent="0.25">
      <c r="A103" s="46"/>
      <c r="B103" s="35"/>
      <c r="C103" s="39"/>
      <c r="D103" s="39"/>
      <c r="E103" s="39"/>
      <c r="F103" s="39"/>
      <c r="G103" s="38"/>
      <c r="H103" s="39"/>
      <c r="I103" s="40"/>
      <c r="J103" s="41"/>
      <c r="K103" s="42"/>
      <c r="L103" s="39"/>
      <c r="M103" s="39"/>
      <c r="N103" s="39"/>
      <c r="O103" s="39"/>
      <c r="P103" s="39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</row>
    <row r="104" spans="1:54" s="33" customFormat="1" ht="20.100000000000001" customHeight="1" x14ac:dyDescent="0.25">
      <c r="A104" s="46"/>
      <c r="B104" s="35"/>
      <c r="C104" s="39"/>
      <c r="D104" s="39"/>
      <c r="E104" s="39"/>
      <c r="F104" s="39"/>
      <c r="G104" s="38"/>
      <c r="H104" s="39"/>
      <c r="I104" s="40"/>
      <c r="J104" s="41"/>
      <c r="K104" s="42"/>
      <c r="L104" s="39"/>
      <c r="M104" s="39"/>
      <c r="N104" s="39"/>
      <c r="O104" s="39"/>
      <c r="P104" s="39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</row>
    <row r="105" spans="1:54" s="33" customFormat="1" ht="20.100000000000001" customHeight="1" x14ac:dyDescent="0.25">
      <c r="A105" s="46"/>
      <c r="B105" s="35"/>
      <c r="C105" s="39"/>
      <c r="D105" s="39"/>
      <c r="E105" s="39"/>
      <c r="F105" s="39"/>
      <c r="G105" s="38"/>
      <c r="H105" s="39"/>
      <c r="I105" s="40"/>
      <c r="J105" s="41"/>
      <c r="K105" s="42"/>
      <c r="L105" s="39"/>
      <c r="M105" s="39"/>
      <c r="N105" s="39"/>
      <c r="O105" s="39"/>
      <c r="P105" s="39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</row>
    <row r="106" spans="1:54" s="33" customFormat="1" ht="20.100000000000001" customHeight="1" x14ac:dyDescent="0.25">
      <c r="A106" s="46"/>
      <c r="B106" s="35"/>
      <c r="C106" s="39"/>
      <c r="D106" s="39"/>
      <c r="E106" s="39"/>
      <c r="F106" s="39"/>
      <c r="G106" s="38"/>
      <c r="H106" s="39"/>
      <c r="I106" s="40"/>
      <c r="J106" s="41"/>
      <c r="K106" s="42"/>
      <c r="L106" s="39"/>
      <c r="M106" s="39"/>
      <c r="N106" s="39"/>
      <c r="O106" s="39"/>
      <c r="P106" s="39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</row>
    <row r="107" spans="1:54" s="33" customFormat="1" ht="20.100000000000001" customHeight="1" x14ac:dyDescent="0.25">
      <c r="A107" s="46"/>
      <c r="B107" s="35"/>
      <c r="C107" s="39"/>
      <c r="D107" s="39"/>
      <c r="E107" s="39"/>
      <c r="F107" s="39"/>
      <c r="G107" s="38"/>
      <c r="H107" s="39"/>
      <c r="I107" s="40"/>
      <c r="J107" s="41"/>
      <c r="K107" s="42"/>
      <c r="L107" s="39"/>
      <c r="M107" s="39"/>
      <c r="N107" s="39"/>
      <c r="O107" s="39"/>
      <c r="P107" s="39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</row>
    <row r="108" spans="1:54" s="33" customFormat="1" ht="20.100000000000001" customHeight="1" x14ac:dyDescent="0.25">
      <c r="A108" s="46"/>
      <c r="B108" s="35"/>
      <c r="C108" s="39"/>
      <c r="D108" s="39"/>
      <c r="E108" s="39"/>
      <c r="F108" s="39"/>
      <c r="G108" s="38"/>
      <c r="H108" s="39"/>
      <c r="I108" s="40"/>
      <c r="J108" s="41"/>
      <c r="K108" s="42"/>
      <c r="L108" s="39"/>
      <c r="M108" s="39"/>
      <c r="N108" s="39"/>
      <c r="O108" s="39"/>
      <c r="P108" s="39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</row>
    <row r="109" spans="1:54" s="33" customFormat="1" ht="20.100000000000001" customHeight="1" x14ac:dyDescent="0.25">
      <c r="A109" s="46"/>
      <c r="B109" s="35"/>
      <c r="C109" s="39"/>
      <c r="D109" s="39"/>
      <c r="E109" s="39"/>
      <c r="F109" s="39"/>
      <c r="G109" s="38"/>
      <c r="H109" s="39"/>
      <c r="I109" s="40"/>
      <c r="J109" s="41"/>
      <c r="K109" s="42"/>
      <c r="L109" s="39"/>
      <c r="M109" s="39"/>
      <c r="N109" s="39"/>
      <c r="O109" s="39"/>
      <c r="P109" s="39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</row>
    <row r="110" spans="1:54" s="33" customFormat="1" ht="20.100000000000001" customHeight="1" x14ac:dyDescent="0.25">
      <c r="A110" s="46"/>
      <c r="B110" s="35"/>
      <c r="C110" s="39"/>
      <c r="D110" s="39"/>
      <c r="E110" s="39"/>
      <c r="F110" s="39"/>
      <c r="G110" s="38"/>
      <c r="H110" s="39"/>
      <c r="I110" s="40"/>
      <c r="J110" s="41"/>
      <c r="K110" s="42"/>
      <c r="L110" s="39"/>
      <c r="M110" s="39"/>
      <c r="N110" s="39"/>
      <c r="O110" s="39"/>
      <c r="P110" s="39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</row>
    <row r="111" spans="1:54" s="33" customFormat="1" ht="20.100000000000001" customHeight="1" x14ac:dyDescent="0.25">
      <c r="A111" s="46"/>
      <c r="B111" s="35"/>
      <c r="C111" s="39"/>
      <c r="D111" s="39"/>
      <c r="E111" s="39"/>
      <c r="F111" s="39"/>
      <c r="G111" s="38"/>
      <c r="H111" s="39"/>
      <c r="I111" s="40"/>
      <c r="J111" s="41"/>
      <c r="K111" s="42"/>
      <c r="L111" s="39"/>
      <c r="M111" s="39"/>
      <c r="N111" s="39"/>
      <c r="O111" s="39"/>
      <c r="P111" s="39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</row>
    <row r="112" spans="1:54" s="33" customFormat="1" ht="20.100000000000001" customHeight="1" x14ac:dyDescent="0.25">
      <c r="A112" s="46"/>
      <c r="B112" s="35"/>
      <c r="C112" s="39"/>
      <c r="D112" s="39"/>
      <c r="E112" s="39"/>
      <c r="F112" s="39"/>
      <c r="G112" s="38"/>
      <c r="H112" s="39"/>
      <c r="I112" s="40"/>
      <c r="J112" s="41"/>
      <c r="K112" s="42"/>
      <c r="L112" s="39"/>
      <c r="M112" s="39"/>
      <c r="N112" s="39"/>
      <c r="O112" s="39"/>
      <c r="P112" s="39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</row>
    <row r="113" spans="1:54" s="33" customFormat="1" ht="20.100000000000001" customHeight="1" x14ac:dyDescent="0.25">
      <c r="A113" s="46"/>
      <c r="B113" s="35"/>
      <c r="C113" s="39"/>
      <c r="D113" s="39"/>
      <c r="E113" s="39"/>
      <c r="F113" s="39"/>
      <c r="G113" s="38"/>
      <c r="H113" s="39"/>
      <c r="I113" s="40"/>
      <c r="J113" s="41"/>
      <c r="K113" s="42"/>
      <c r="L113" s="39"/>
      <c r="M113" s="39"/>
      <c r="N113" s="39"/>
      <c r="O113" s="39"/>
      <c r="P113" s="39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</row>
    <row r="114" spans="1:54" s="33" customFormat="1" ht="20.100000000000001" customHeight="1" x14ac:dyDescent="0.25">
      <c r="A114" s="46"/>
      <c r="B114" s="35"/>
      <c r="C114" s="39"/>
      <c r="D114" s="39"/>
      <c r="E114" s="39"/>
      <c r="F114" s="39"/>
      <c r="G114" s="38"/>
      <c r="H114" s="39"/>
      <c r="I114" s="40"/>
      <c r="J114" s="41"/>
      <c r="K114" s="42"/>
      <c r="L114" s="39"/>
      <c r="M114" s="39"/>
      <c r="N114" s="39"/>
      <c r="O114" s="39"/>
      <c r="P114" s="39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</row>
    <row r="115" spans="1:54" s="33" customFormat="1" ht="20.100000000000001" customHeight="1" x14ac:dyDescent="0.25">
      <c r="A115" s="46"/>
      <c r="B115" s="35"/>
      <c r="C115" s="39"/>
      <c r="D115" s="39"/>
      <c r="E115" s="39"/>
      <c r="F115" s="39"/>
      <c r="G115" s="38"/>
      <c r="H115" s="39"/>
      <c r="I115" s="40"/>
      <c r="J115" s="41"/>
      <c r="K115" s="42"/>
      <c r="L115" s="39"/>
      <c r="M115" s="39"/>
      <c r="N115" s="39"/>
      <c r="O115" s="39"/>
      <c r="P115" s="39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</row>
    <row r="116" spans="1:54" s="33" customFormat="1" ht="20.100000000000001" customHeight="1" x14ac:dyDescent="0.25">
      <c r="A116" s="46"/>
      <c r="B116" s="35"/>
      <c r="C116" s="39"/>
      <c r="D116" s="39"/>
      <c r="E116" s="39"/>
      <c r="F116" s="39"/>
      <c r="G116" s="38"/>
      <c r="H116" s="39"/>
      <c r="I116" s="40"/>
      <c r="J116" s="41"/>
      <c r="K116" s="42"/>
      <c r="L116" s="39"/>
      <c r="M116" s="39"/>
      <c r="N116" s="39"/>
      <c r="O116" s="39"/>
      <c r="P116" s="39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</row>
    <row r="117" spans="1:54" s="33" customFormat="1" ht="20.100000000000001" customHeight="1" x14ac:dyDescent="0.25">
      <c r="A117" s="46"/>
      <c r="B117" s="35"/>
      <c r="C117" s="39"/>
      <c r="D117" s="39"/>
      <c r="E117" s="39"/>
      <c r="F117" s="39"/>
      <c r="G117" s="38"/>
      <c r="H117" s="39"/>
      <c r="I117" s="40"/>
      <c r="J117" s="41"/>
      <c r="K117" s="42"/>
      <c r="L117" s="39"/>
      <c r="M117" s="39"/>
      <c r="N117" s="39"/>
      <c r="O117" s="39"/>
      <c r="P117" s="39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</row>
    <row r="118" spans="1:54" s="33" customFormat="1" ht="20.100000000000001" customHeight="1" x14ac:dyDescent="0.25">
      <c r="A118" s="46"/>
      <c r="B118" s="35"/>
      <c r="C118" s="39"/>
      <c r="D118" s="39"/>
      <c r="E118" s="39"/>
      <c r="F118" s="39"/>
      <c r="G118" s="38"/>
      <c r="H118" s="39"/>
      <c r="I118" s="41"/>
      <c r="J118" s="41"/>
      <c r="K118" s="39"/>
      <c r="L118" s="39"/>
      <c r="M118" s="39"/>
      <c r="N118" s="39"/>
      <c r="O118" s="39"/>
      <c r="P118" s="39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</row>
    <row r="119" spans="1:54" s="33" customFormat="1" ht="20.100000000000001" customHeight="1" x14ac:dyDescent="0.25">
      <c r="A119" s="46"/>
      <c r="B119" s="35"/>
      <c r="C119" s="39"/>
      <c r="D119" s="39"/>
      <c r="E119" s="39"/>
      <c r="F119" s="39"/>
      <c r="G119" s="38"/>
      <c r="H119" s="39"/>
      <c r="I119" s="41"/>
      <c r="J119" s="41"/>
      <c r="K119" s="39"/>
      <c r="L119" s="39"/>
      <c r="M119" s="39"/>
      <c r="N119" s="39"/>
      <c r="O119" s="39"/>
      <c r="P119" s="39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</row>
    <row r="120" spans="1:54" s="33" customFormat="1" ht="20.100000000000001" customHeight="1" x14ac:dyDescent="0.25">
      <c r="A120" s="46"/>
      <c r="B120" s="35"/>
      <c r="C120" s="39"/>
      <c r="D120" s="39"/>
      <c r="E120" s="39"/>
      <c r="F120" s="39"/>
      <c r="G120" s="38"/>
      <c r="H120" s="39"/>
      <c r="I120" s="41"/>
      <c r="J120" s="41"/>
      <c r="K120" s="39"/>
      <c r="L120" s="39"/>
      <c r="M120" s="39"/>
      <c r="N120" s="39"/>
      <c r="O120" s="39"/>
      <c r="P120" s="39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</row>
    <row r="121" spans="1:54" s="33" customFormat="1" ht="20.100000000000001" customHeight="1" x14ac:dyDescent="0.25">
      <c r="A121" s="46"/>
      <c r="B121" s="35"/>
      <c r="C121" s="39"/>
      <c r="D121" s="39"/>
      <c r="E121" s="39"/>
      <c r="F121" s="39"/>
      <c r="G121" s="38"/>
      <c r="H121" s="39"/>
      <c r="I121" s="41"/>
      <c r="J121" s="41"/>
      <c r="K121" s="39"/>
      <c r="L121" s="39"/>
      <c r="M121" s="39"/>
      <c r="N121" s="39"/>
      <c r="O121" s="39"/>
      <c r="P121" s="39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</row>
    <row r="122" spans="1:54" s="33" customFormat="1" ht="20.100000000000001" customHeight="1" x14ac:dyDescent="0.25">
      <c r="A122" s="46"/>
      <c r="B122" s="35"/>
      <c r="C122" s="39"/>
      <c r="D122" s="39"/>
      <c r="E122" s="39"/>
      <c r="F122" s="39"/>
      <c r="G122" s="38"/>
      <c r="H122" s="39"/>
      <c r="I122" s="41"/>
      <c r="J122" s="41"/>
      <c r="K122" s="39"/>
      <c r="L122" s="39"/>
      <c r="M122" s="39"/>
      <c r="N122" s="39"/>
      <c r="O122" s="39"/>
      <c r="P122" s="39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</row>
    <row r="123" spans="1:54" s="33" customFormat="1" ht="20.100000000000001" customHeight="1" x14ac:dyDescent="0.25">
      <c r="A123" s="46"/>
      <c r="B123" s="35"/>
      <c r="C123" s="39"/>
      <c r="D123" s="39"/>
      <c r="E123" s="39"/>
      <c r="F123" s="39"/>
      <c r="G123" s="38"/>
      <c r="H123" s="39"/>
      <c r="I123" s="41"/>
      <c r="J123" s="41"/>
      <c r="K123" s="39"/>
      <c r="L123" s="39"/>
      <c r="M123" s="39"/>
      <c r="N123" s="39"/>
      <c r="O123" s="39"/>
      <c r="P123" s="39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</row>
    <row r="124" spans="1:54" s="33" customFormat="1" ht="20.100000000000001" customHeight="1" x14ac:dyDescent="0.25">
      <c r="A124" s="46"/>
      <c r="B124" s="35"/>
      <c r="C124" s="39"/>
      <c r="D124" s="39"/>
      <c r="E124" s="39"/>
      <c r="F124" s="39"/>
      <c r="G124" s="38"/>
      <c r="H124" s="39"/>
      <c r="I124" s="41"/>
      <c r="J124" s="41"/>
      <c r="K124" s="39"/>
      <c r="L124" s="39"/>
      <c r="M124" s="39"/>
      <c r="N124" s="39"/>
      <c r="O124" s="39"/>
      <c r="P124" s="39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  <c r="AR124" s="24"/>
      <c r="AS124" s="24"/>
      <c r="AT124" s="24"/>
      <c r="AU124" s="24"/>
      <c r="AV124" s="24"/>
      <c r="AW124" s="24"/>
      <c r="AX124" s="24"/>
      <c r="AY124" s="24"/>
      <c r="AZ124" s="24"/>
      <c r="BA124" s="24"/>
      <c r="BB124" s="24"/>
    </row>
    <row r="125" spans="1:54" s="33" customFormat="1" ht="20.100000000000001" customHeight="1" x14ac:dyDescent="0.25">
      <c r="A125" s="46"/>
      <c r="B125" s="35"/>
      <c r="C125" s="39"/>
      <c r="D125" s="39"/>
      <c r="E125" s="39"/>
      <c r="F125" s="39"/>
      <c r="G125" s="38"/>
      <c r="H125" s="39"/>
      <c r="I125" s="41"/>
      <c r="J125" s="41"/>
      <c r="K125" s="39"/>
      <c r="L125" s="39"/>
      <c r="M125" s="39"/>
      <c r="N125" s="39"/>
      <c r="O125" s="39"/>
      <c r="P125" s="39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  <c r="AR125" s="24"/>
      <c r="AS125" s="24"/>
      <c r="AT125" s="24"/>
      <c r="AU125" s="24"/>
      <c r="AV125" s="24"/>
      <c r="AW125" s="24"/>
      <c r="AX125" s="24"/>
      <c r="AY125" s="24"/>
      <c r="AZ125" s="24"/>
      <c r="BA125" s="24"/>
      <c r="BB125" s="24"/>
    </row>
    <row r="126" spans="1:54" s="33" customFormat="1" ht="20.100000000000001" customHeight="1" x14ac:dyDescent="0.25">
      <c r="A126" s="46"/>
      <c r="B126" s="35"/>
      <c r="C126" s="39"/>
      <c r="D126" s="39"/>
      <c r="E126" s="39"/>
      <c r="F126" s="39"/>
      <c r="G126" s="38"/>
      <c r="H126" s="39"/>
      <c r="I126" s="41"/>
      <c r="J126" s="41"/>
      <c r="K126" s="39"/>
      <c r="L126" s="39"/>
      <c r="M126" s="39"/>
      <c r="N126" s="39"/>
      <c r="O126" s="39"/>
      <c r="P126" s="39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</row>
    <row r="127" spans="1:54" s="33" customFormat="1" ht="20.100000000000001" customHeight="1" x14ac:dyDescent="0.25">
      <c r="A127" s="46"/>
      <c r="B127" s="35"/>
      <c r="C127" s="39"/>
      <c r="D127" s="39"/>
      <c r="E127" s="39"/>
      <c r="F127" s="39"/>
      <c r="G127" s="38"/>
      <c r="H127" s="39"/>
      <c r="I127" s="41"/>
      <c r="J127" s="41"/>
      <c r="K127" s="39"/>
      <c r="L127" s="39"/>
      <c r="M127" s="39"/>
      <c r="N127" s="39"/>
      <c r="O127" s="39"/>
      <c r="P127" s="39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  <c r="AR127" s="24"/>
      <c r="AS127" s="24"/>
      <c r="AT127" s="24"/>
      <c r="AU127" s="24"/>
      <c r="AV127" s="24"/>
      <c r="AW127" s="24"/>
      <c r="AX127" s="24"/>
      <c r="AY127" s="24"/>
      <c r="AZ127" s="24"/>
      <c r="BA127" s="24"/>
      <c r="BB127" s="24"/>
    </row>
    <row r="128" spans="1:54" s="33" customFormat="1" ht="20.100000000000001" customHeight="1" x14ac:dyDescent="0.25">
      <c r="A128" s="46"/>
      <c r="B128" s="35"/>
      <c r="C128" s="39"/>
      <c r="D128" s="39"/>
      <c r="E128" s="39"/>
      <c r="F128" s="39"/>
      <c r="G128" s="38"/>
      <c r="H128" s="39"/>
      <c r="I128" s="41"/>
      <c r="J128" s="41"/>
      <c r="K128" s="39"/>
      <c r="L128" s="39"/>
      <c r="M128" s="39"/>
      <c r="N128" s="39"/>
      <c r="O128" s="39"/>
      <c r="P128" s="39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</row>
    <row r="129" spans="1:54" s="33" customFormat="1" ht="20.100000000000001" customHeight="1" x14ac:dyDescent="0.25">
      <c r="A129" s="46"/>
      <c r="B129" s="35"/>
      <c r="C129" s="39"/>
      <c r="D129" s="39"/>
      <c r="E129" s="39"/>
      <c r="F129" s="39"/>
      <c r="G129" s="38"/>
      <c r="H129" s="39"/>
      <c r="I129" s="41"/>
      <c r="J129" s="41"/>
      <c r="K129" s="39"/>
      <c r="L129" s="39"/>
      <c r="M129" s="39"/>
      <c r="N129" s="39"/>
      <c r="O129" s="39"/>
      <c r="P129" s="39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  <c r="AR129" s="24"/>
      <c r="AS129" s="24"/>
      <c r="AT129" s="24"/>
      <c r="AU129" s="24"/>
      <c r="AV129" s="24"/>
      <c r="AW129" s="24"/>
      <c r="AX129" s="24"/>
      <c r="AY129" s="24"/>
      <c r="AZ129" s="24"/>
      <c r="BA129" s="24"/>
      <c r="BB129" s="24"/>
    </row>
    <row r="130" spans="1:54" s="33" customFormat="1" ht="20.100000000000001" customHeight="1" x14ac:dyDescent="0.25">
      <c r="A130" s="46"/>
      <c r="B130" s="35"/>
      <c r="C130" s="39"/>
      <c r="D130" s="39"/>
      <c r="E130" s="39"/>
      <c r="F130" s="39"/>
      <c r="G130" s="38"/>
      <c r="H130" s="39"/>
      <c r="I130" s="41"/>
      <c r="J130" s="41"/>
      <c r="K130" s="39"/>
      <c r="L130" s="39"/>
      <c r="M130" s="39"/>
      <c r="N130" s="39"/>
      <c r="O130" s="39"/>
      <c r="P130" s="39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24"/>
      <c r="BB130" s="24"/>
    </row>
    <row r="131" spans="1:54" s="33" customFormat="1" ht="20.100000000000001" customHeight="1" x14ac:dyDescent="0.25">
      <c r="A131" s="46"/>
      <c r="B131" s="35"/>
      <c r="C131" s="39"/>
      <c r="D131" s="39"/>
      <c r="E131" s="39"/>
      <c r="F131" s="39"/>
      <c r="G131" s="38"/>
      <c r="H131" s="39"/>
      <c r="I131" s="41"/>
      <c r="J131" s="41"/>
      <c r="K131" s="39"/>
      <c r="L131" s="39"/>
      <c r="M131" s="39"/>
      <c r="N131" s="39"/>
      <c r="O131" s="39"/>
      <c r="P131" s="39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</row>
    <row r="132" spans="1:54" s="33" customFormat="1" ht="20.100000000000001" customHeight="1" x14ac:dyDescent="0.25">
      <c r="A132" s="46"/>
      <c r="B132" s="35"/>
      <c r="C132" s="39"/>
      <c r="D132" s="39"/>
      <c r="E132" s="39"/>
      <c r="F132" s="39"/>
      <c r="G132" s="38"/>
      <c r="H132" s="39"/>
      <c r="I132" s="41"/>
      <c r="J132" s="41"/>
      <c r="K132" s="39"/>
      <c r="L132" s="39"/>
      <c r="M132" s="39"/>
      <c r="N132" s="39"/>
      <c r="O132" s="39"/>
      <c r="P132" s="39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</row>
    <row r="133" spans="1:54" s="33" customFormat="1" ht="20.100000000000001" customHeight="1" x14ac:dyDescent="0.25">
      <c r="A133" s="46"/>
      <c r="B133" s="35"/>
      <c r="C133" s="39"/>
      <c r="D133" s="39"/>
      <c r="E133" s="39"/>
      <c r="F133" s="39"/>
      <c r="G133" s="38"/>
      <c r="H133" s="39"/>
      <c r="I133" s="41"/>
      <c r="J133" s="41"/>
      <c r="K133" s="39"/>
      <c r="L133" s="39"/>
      <c r="M133" s="39"/>
      <c r="N133" s="39"/>
      <c r="O133" s="39"/>
      <c r="P133" s="39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</row>
    <row r="134" spans="1:54" s="33" customFormat="1" ht="20.100000000000001" customHeight="1" x14ac:dyDescent="0.25">
      <c r="A134" s="46"/>
      <c r="B134" s="35"/>
      <c r="C134" s="39"/>
      <c r="D134" s="39"/>
      <c r="E134" s="39"/>
      <c r="F134" s="39"/>
      <c r="G134" s="38"/>
      <c r="H134" s="39"/>
      <c r="I134" s="41"/>
      <c r="J134" s="41"/>
      <c r="K134" s="39"/>
      <c r="L134" s="39"/>
      <c r="M134" s="39"/>
      <c r="N134" s="39"/>
      <c r="O134" s="39"/>
      <c r="P134" s="39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</row>
    <row r="135" spans="1:54" s="33" customFormat="1" ht="20.100000000000001" customHeight="1" x14ac:dyDescent="0.25">
      <c r="A135" s="46"/>
      <c r="B135" s="35"/>
      <c r="C135" s="39"/>
      <c r="D135" s="39"/>
      <c r="E135" s="39"/>
      <c r="F135" s="39"/>
      <c r="G135" s="38"/>
      <c r="H135" s="39"/>
      <c r="I135" s="41"/>
      <c r="J135" s="41"/>
      <c r="K135" s="39"/>
      <c r="L135" s="39"/>
      <c r="M135" s="39"/>
      <c r="N135" s="39"/>
      <c r="O135" s="39"/>
      <c r="P135" s="39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</row>
    <row r="136" spans="1:54" s="33" customFormat="1" ht="20.100000000000001" customHeight="1" x14ac:dyDescent="0.25">
      <c r="A136" s="46"/>
      <c r="B136" s="35"/>
      <c r="C136" s="39"/>
      <c r="D136" s="39"/>
      <c r="E136" s="39"/>
      <c r="F136" s="39"/>
      <c r="G136" s="38"/>
      <c r="H136" s="39"/>
      <c r="I136" s="41"/>
      <c r="J136" s="41"/>
      <c r="K136" s="39"/>
      <c r="L136" s="39"/>
      <c r="M136" s="39"/>
      <c r="N136" s="39"/>
      <c r="O136" s="39"/>
      <c r="P136" s="39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</row>
    <row r="137" spans="1:54" s="33" customFormat="1" ht="20.100000000000001" customHeight="1" x14ac:dyDescent="0.25">
      <c r="A137" s="46"/>
      <c r="B137" s="35"/>
      <c r="C137" s="39"/>
      <c r="D137" s="39"/>
      <c r="E137" s="39"/>
      <c r="F137" s="39"/>
      <c r="G137" s="38"/>
      <c r="H137" s="39"/>
      <c r="I137" s="41"/>
      <c r="J137" s="41"/>
      <c r="K137" s="39"/>
      <c r="L137" s="39"/>
      <c r="M137" s="39"/>
      <c r="N137" s="39"/>
      <c r="O137" s="39"/>
      <c r="P137" s="39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</row>
    <row r="138" spans="1:54" s="33" customFormat="1" ht="20.100000000000001" customHeight="1" x14ac:dyDescent="0.25">
      <c r="A138" s="46"/>
      <c r="B138" s="35"/>
      <c r="C138" s="39"/>
      <c r="D138" s="39"/>
      <c r="E138" s="39"/>
      <c r="F138" s="39"/>
      <c r="G138" s="38"/>
      <c r="H138" s="39"/>
      <c r="I138" s="41"/>
      <c r="J138" s="41"/>
      <c r="K138" s="39"/>
      <c r="L138" s="39"/>
      <c r="M138" s="39"/>
      <c r="N138" s="39"/>
      <c r="O138" s="39"/>
      <c r="P138" s="39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</row>
    <row r="139" spans="1:54" s="33" customFormat="1" ht="20.100000000000001" customHeight="1" x14ac:dyDescent="0.25">
      <c r="A139" s="46"/>
      <c r="B139" s="35"/>
      <c r="C139" s="39"/>
      <c r="D139" s="39"/>
      <c r="E139" s="39"/>
      <c r="F139" s="39"/>
      <c r="G139" s="38"/>
      <c r="H139" s="39"/>
      <c r="I139" s="41"/>
      <c r="J139" s="41"/>
      <c r="K139" s="39"/>
      <c r="L139" s="39"/>
      <c r="M139" s="39"/>
      <c r="N139" s="39"/>
      <c r="O139" s="39"/>
      <c r="P139" s="39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</row>
    <row r="140" spans="1:54" s="33" customFormat="1" ht="20.100000000000001" customHeight="1" x14ac:dyDescent="0.25">
      <c r="A140" s="46"/>
      <c r="B140" s="35"/>
      <c r="C140" s="39"/>
      <c r="D140" s="39"/>
      <c r="E140" s="39"/>
      <c r="F140" s="39"/>
      <c r="G140" s="38"/>
      <c r="H140" s="39"/>
      <c r="I140" s="41"/>
      <c r="J140" s="41"/>
      <c r="K140" s="39"/>
      <c r="L140" s="39"/>
      <c r="M140" s="39"/>
      <c r="N140" s="39"/>
      <c r="O140" s="39"/>
      <c r="P140" s="39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</row>
    <row r="141" spans="1:54" s="33" customFormat="1" ht="20.100000000000001" customHeight="1" x14ac:dyDescent="0.25">
      <c r="A141" s="46"/>
      <c r="B141" s="35"/>
      <c r="C141" s="39"/>
      <c r="D141" s="39"/>
      <c r="E141" s="39"/>
      <c r="F141" s="39"/>
      <c r="G141" s="38"/>
      <c r="H141" s="39"/>
      <c r="I141" s="41"/>
      <c r="J141" s="41"/>
      <c r="K141" s="39"/>
      <c r="L141" s="39"/>
      <c r="M141" s="39"/>
      <c r="N141" s="39"/>
      <c r="O141" s="39"/>
      <c r="P141" s="39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</row>
    <row r="142" spans="1:54" s="33" customFormat="1" ht="20.100000000000001" customHeight="1" x14ac:dyDescent="0.25">
      <c r="A142" s="46"/>
      <c r="B142" s="35"/>
      <c r="C142" s="39"/>
      <c r="D142" s="39"/>
      <c r="E142" s="39"/>
      <c r="F142" s="39"/>
      <c r="G142" s="38"/>
      <c r="H142" s="39"/>
      <c r="I142" s="41"/>
      <c r="J142" s="41"/>
      <c r="K142" s="39"/>
      <c r="L142" s="39"/>
      <c r="M142" s="39"/>
      <c r="N142" s="39"/>
      <c r="O142" s="39"/>
      <c r="P142" s="39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</row>
    <row r="143" spans="1:54" s="33" customFormat="1" ht="20.100000000000001" customHeight="1" x14ac:dyDescent="0.25">
      <c r="A143" s="46"/>
      <c r="B143" s="35"/>
      <c r="C143" s="39"/>
      <c r="D143" s="39"/>
      <c r="E143" s="39"/>
      <c r="F143" s="39"/>
      <c r="G143" s="38"/>
      <c r="H143" s="39"/>
      <c r="I143" s="41"/>
      <c r="J143" s="41"/>
      <c r="K143" s="39"/>
      <c r="L143" s="39"/>
      <c r="M143" s="39"/>
      <c r="N143" s="39"/>
      <c r="O143" s="39"/>
      <c r="P143" s="39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</row>
    <row r="144" spans="1:54" s="33" customFormat="1" ht="20.100000000000001" customHeight="1" x14ac:dyDescent="0.25">
      <c r="A144" s="46"/>
      <c r="B144" s="35"/>
      <c r="C144" s="39"/>
      <c r="D144" s="39"/>
      <c r="E144" s="39"/>
      <c r="F144" s="39"/>
      <c r="G144" s="38"/>
      <c r="H144" s="39"/>
      <c r="I144" s="41"/>
      <c r="J144" s="41"/>
      <c r="K144" s="39"/>
      <c r="L144" s="39"/>
      <c r="M144" s="39"/>
      <c r="N144" s="39"/>
      <c r="O144" s="39"/>
      <c r="P144" s="39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  <c r="AR144" s="24"/>
      <c r="AS144" s="24"/>
      <c r="AT144" s="24"/>
      <c r="AU144" s="24"/>
      <c r="AV144" s="24"/>
      <c r="AW144" s="24"/>
      <c r="AX144" s="24"/>
      <c r="AY144" s="24"/>
      <c r="AZ144" s="24"/>
      <c r="BA144" s="24"/>
      <c r="BB144" s="24"/>
    </row>
    <row r="145" spans="1:54" s="33" customFormat="1" ht="20.100000000000001" customHeight="1" x14ac:dyDescent="0.25">
      <c r="A145" s="46"/>
      <c r="B145" s="35"/>
      <c r="C145" s="39"/>
      <c r="D145" s="39"/>
      <c r="E145" s="39"/>
      <c r="F145" s="39"/>
      <c r="G145" s="38"/>
      <c r="H145" s="39"/>
      <c r="I145" s="41"/>
      <c r="J145" s="41"/>
      <c r="K145" s="39"/>
      <c r="L145" s="39"/>
      <c r="M145" s="39"/>
      <c r="N145" s="39"/>
      <c r="O145" s="39"/>
      <c r="P145" s="39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  <c r="AR145" s="24"/>
      <c r="AS145" s="24"/>
      <c r="AT145" s="24"/>
      <c r="AU145" s="24"/>
      <c r="AV145" s="24"/>
      <c r="AW145" s="24"/>
      <c r="AX145" s="24"/>
      <c r="AY145" s="24"/>
      <c r="AZ145" s="24"/>
      <c r="BA145" s="24"/>
      <c r="BB145" s="24"/>
    </row>
    <row r="146" spans="1:54" s="33" customFormat="1" ht="20.100000000000001" customHeight="1" x14ac:dyDescent="0.25">
      <c r="A146" s="46"/>
      <c r="B146" s="35"/>
      <c r="C146" s="39"/>
      <c r="D146" s="39"/>
      <c r="E146" s="39"/>
      <c r="F146" s="39"/>
      <c r="G146" s="38"/>
      <c r="H146" s="39"/>
      <c r="I146" s="41"/>
      <c r="J146" s="41"/>
      <c r="K146" s="39"/>
      <c r="L146" s="39"/>
      <c r="M146" s="39"/>
      <c r="N146" s="39"/>
      <c r="O146" s="39"/>
      <c r="P146" s="39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  <c r="AR146" s="24"/>
      <c r="AS146" s="24"/>
      <c r="AT146" s="24"/>
      <c r="AU146" s="24"/>
      <c r="AV146" s="24"/>
      <c r="AW146" s="24"/>
      <c r="AX146" s="24"/>
      <c r="AY146" s="24"/>
      <c r="AZ146" s="24"/>
      <c r="BA146" s="24"/>
      <c r="BB146" s="24"/>
    </row>
    <row r="147" spans="1:54" s="33" customFormat="1" ht="20.100000000000001" customHeight="1" x14ac:dyDescent="0.25">
      <c r="A147" s="46"/>
      <c r="B147" s="35"/>
      <c r="C147" s="39"/>
      <c r="D147" s="39"/>
      <c r="E147" s="39"/>
      <c r="F147" s="39"/>
      <c r="G147" s="38"/>
      <c r="H147" s="39"/>
      <c r="I147" s="41"/>
      <c r="J147" s="41"/>
      <c r="K147" s="39"/>
      <c r="L147" s="39"/>
      <c r="M147" s="39"/>
      <c r="N147" s="39"/>
      <c r="O147" s="39"/>
      <c r="P147" s="39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  <c r="AR147" s="24"/>
      <c r="AS147" s="24"/>
      <c r="AT147" s="24"/>
      <c r="AU147" s="24"/>
      <c r="AV147" s="24"/>
      <c r="AW147" s="24"/>
      <c r="AX147" s="24"/>
      <c r="AY147" s="24"/>
      <c r="AZ147" s="24"/>
      <c r="BA147" s="24"/>
      <c r="BB147" s="24"/>
    </row>
    <row r="148" spans="1:54" s="33" customFormat="1" ht="20.100000000000001" customHeight="1" x14ac:dyDescent="0.25">
      <c r="A148" s="46"/>
      <c r="B148" s="35"/>
      <c r="C148" s="39"/>
      <c r="D148" s="39"/>
      <c r="E148" s="39"/>
      <c r="F148" s="39"/>
      <c r="G148" s="38"/>
      <c r="H148" s="39"/>
      <c r="I148" s="41"/>
      <c r="J148" s="41"/>
      <c r="K148" s="39"/>
      <c r="L148" s="39"/>
      <c r="M148" s="39"/>
      <c r="N148" s="39"/>
      <c r="O148" s="39"/>
      <c r="P148" s="39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  <c r="AT148" s="24"/>
      <c r="AU148" s="24"/>
      <c r="AV148" s="24"/>
      <c r="AW148" s="24"/>
      <c r="AX148" s="24"/>
      <c r="AY148" s="24"/>
      <c r="AZ148" s="24"/>
      <c r="BA148" s="24"/>
      <c r="BB148" s="24"/>
    </row>
    <row r="149" spans="1:54" s="33" customFormat="1" ht="20.100000000000001" customHeight="1" x14ac:dyDescent="0.25">
      <c r="A149" s="46"/>
      <c r="B149" s="35"/>
      <c r="C149" s="39"/>
      <c r="D149" s="39"/>
      <c r="E149" s="39"/>
      <c r="F149" s="39"/>
      <c r="G149" s="38"/>
      <c r="H149" s="39"/>
      <c r="I149" s="41"/>
      <c r="J149" s="41"/>
      <c r="K149" s="39"/>
      <c r="L149" s="39"/>
      <c r="M149" s="39"/>
      <c r="N149" s="39"/>
      <c r="O149" s="39"/>
      <c r="P149" s="39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  <c r="AR149" s="24"/>
      <c r="AS149" s="24"/>
      <c r="AT149" s="24"/>
      <c r="AU149" s="24"/>
      <c r="AV149" s="24"/>
      <c r="AW149" s="24"/>
      <c r="AX149" s="24"/>
      <c r="AY149" s="24"/>
      <c r="AZ149" s="24"/>
      <c r="BA149" s="24"/>
      <c r="BB149" s="24"/>
    </row>
    <row r="150" spans="1:54" s="33" customFormat="1" ht="20.100000000000001" customHeight="1" x14ac:dyDescent="0.25">
      <c r="A150" s="46"/>
      <c r="B150" s="35"/>
      <c r="C150" s="39"/>
      <c r="D150" s="39"/>
      <c r="E150" s="39"/>
      <c r="F150" s="39"/>
      <c r="G150" s="38"/>
      <c r="H150" s="39"/>
      <c r="I150" s="41"/>
      <c r="J150" s="41"/>
      <c r="K150" s="39"/>
      <c r="L150" s="39"/>
      <c r="M150" s="39"/>
      <c r="N150" s="39"/>
      <c r="O150" s="39"/>
      <c r="P150" s="39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  <c r="AR150" s="24"/>
      <c r="AS150" s="24"/>
      <c r="AT150" s="24"/>
      <c r="AU150" s="24"/>
      <c r="AV150" s="24"/>
      <c r="AW150" s="24"/>
      <c r="AX150" s="24"/>
      <c r="AY150" s="24"/>
      <c r="AZ150" s="24"/>
      <c r="BA150" s="24"/>
      <c r="BB150" s="24"/>
    </row>
    <row r="151" spans="1:54" s="33" customFormat="1" ht="20.100000000000001" customHeight="1" x14ac:dyDescent="0.25">
      <c r="A151" s="46"/>
      <c r="B151" s="35"/>
      <c r="C151" s="39"/>
      <c r="D151" s="39"/>
      <c r="E151" s="39"/>
      <c r="F151" s="39"/>
      <c r="G151" s="38"/>
      <c r="H151" s="39"/>
      <c r="I151" s="41"/>
      <c r="J151" s="41"/>
      <c r="K151" s="39"/>
      <c r="L151" s="39"/>
      <c r="M151" s="39"/>
      <c r="N151" s="39"/>
      <c r="O151" s="39"/>
      <c r="P151" s="39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  <c r="AR151" s="24"/>
      <c r="AS151" s="24"/>
      <c r="AT151" s="24"/>
      <c r="AU151" s="24"/>
      <c r="AV151" s="24"/>
      <c r="AW151" s="24"/>
      <c r="AX151" s="24"/>
      <c r="AY151" s="24"/>
      <c r="AZ151" s="24"/>
      <c r="BA151" s="24"/>
      <c r="BB151" s="24"/>
    </row>
    <row r="152" spans="1:54" s="33" customFormat="1" ht="20.100000000000001" customHeight="1" x14ac:dyDescent="0.25">
      <c r="A152" s="46"/>
      <c r="B152" s="35"/>
      <c r="C152" s="39"/>
      <c r="D152" s="39"/>
      <c r="E152" s="39"/>
      <c r="F152" s="39"/>
      <c r="G152" s="38"/>
      <c r="H152" s="39"/>
      <c r="I152" s="41"/>
      <c r="J152" s="41"/>
      <c r="K152" s="39"/>
      <c r="L152" s="39"/>
      <c r="M152" s="39"/>
      <c r="N152" s="39"/>
      <c r="O152" s="39"/>
      <c r="P152" s="39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  <c r="AR152" s="24"/>
      <c r="AS152" s="24"/>
      <c r="AT152" s="24"/>
      <c r="AU152" s="24"/>
      <c r="AV152" s="24"/>
      <c r="AW152" s="24"/>
      <c r="AX152" s="24"/>
      <c r="AY152" s="24"/>
      <c r="AZ152" s="24"/>
      <c r="BA152" s="24"/>
      <c r="BB152" s="24"/>
    </row>
    <row r="153" spans="1:54" s="33" customFormat="1" ht="20.100000000000001" customHeight="1" x14ac:dyDescent="0.25">
      <c r="A153" s="46"/>
      <c r="B153" s="35"/>
      <c r="C153" s="39"/>
      <c r="D153" s="39"/>
      <c r="E153" s="39"/>
      <c r="F153" s="39"/>
      <c r="G153" s="38"/>
      <c r="H153" s="39"/>
      <c r="I153" s="41"/>
      <c r="J153" s="41"/>
      <c r="K153" s="39"/>
      <c r="L153" s="39"/>
      <c r="M153" s="39"/>
      <c r="N153" s="39"/>
      <c r="O153" s="39"/>
      <c r="P153" s="39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  <c r="AR153" s="24"/>
      <c r="AS153" s="24"/>
      <c r="AT153" s="24"/>
      <c r="AU153" s="24"/>
      <c r="AV153" s="24"/>
      <c r="AW153" s="24"/>
      <c r="AX153" s="24"/>
      <c r="AY153" s="24"/>
      <c r="AZ153" s="24"/>
      <c r="BA153" s="24"/>
      <c r="BB153" s="24"/>
    </row>
    <row r="154" spans="1:54" s="33" customFormat="1" ht="20.100000000000001" customHeight="1" x14ac:dyDescent="0.25">
      <c r="A154" s="46"/>
      <c r="B154" s="35"/>
      <c r="C154" s="39"/>
      <c r="D154" s="39"/>
      <c r="E154" s="39"/>
      <c r="F154" s="39"/>
      <c r="G154" s="38"/>
      <c r="H154" s="39"/>
      <c r="I154" s="41"/>
      <c r="J154" s="41"/>
      <c r="K154" s="39"/>
      <c r="L154" s="39"/>
      <c r="M154" s="39"/>
      <c r="N154" s="39"/>
      <c r="O154" s="39"/>
      <c r="P154" s="39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  <c r="AR154" s="24"/>
      <c r="AS154" s="24"/>
      <c r="AT154" s="24"/>
      <c r="AU154" s="24"/>
      <c r="AV154" s="24"/>
      <c r="AW154" s="24"/>
      <c r="AX154" s="24"/>
      <c r="AY154" s="24"/>
      <c r="AZ154" s="24"/>
      <c r="BA154" s="24"/>
      <c r="BB154" s="24"/>
    </row>
    <row r="155" spans="1:54" s="33" customFormat="1" ht="20.100000000000001" customHeight="1" x14ac:dyDescent="0.25">
      <c r="A155" s="46"/>
      <c r="B155" s="35"/>
      <c r="C155" s="39"/>
      <c r="D155" s="39"/>
      <c r="E155" s="39"/>
      <c r="F155" s="39"/>
      <c r="G155" s="38"/>
      <c r="H155" s="39"/>
      <c r="I155" s="41"/>
      <c r="J155" s="41"/>
      <c r="K155" s="39"/>
      <c r="L155" s="39"/>
      <c r="M155" s="39"/>
      <c r="N155" s="39"/>
      <c r="O155" s="39"/>
      <c r="P155" s="39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  <c r="AR155" s="24"/>
      <c r="AS155" s="24"/>
      <c r="AT155" s="24"/>
      <c r="AU155" s="24"/>
      <c r="AV155" s="24"/>
      <c r="AW155" s="24"/>
      <c r="AX155" s="24"/>
      <c r="AY155" s="24"/>
      <c r="AZ155" s="24"/>
      <c r="BA155" s="24"/>
      <c r="BB155" s="24"/>
    </row>
    <row r="156" spans="1:54" s="33" customFormat="1" ht="20.100000000000001" customHeight="1" x14ac:dyDescent="0.25">
      <c r="A156" s="46"/>
      <c r="B156" s="35"/>
      <c r="C156" s="39"/>
      <c r="D156" s="39"/>
      <c r="E156" s="39"/>
      <c r="F156" s="39"/>
      <c r="G156" s="38"/>
      <c r="H156" s="39"/>
      <c r="I156" s="41"/>
      <c r="J156" s="41"/>
      <c r="K156" s="39"/>
      <c r="L156" s="39"/>
      <c r="M156" s="39"/>
      <c r="N156" s="39"/>
      <c r="O156" s="39"/>
      <c r="P156" s="39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AX156" s="24"/>
      <c r="AY156" s="24"/>
      <c r="AZ156" s="24"/>
      <c r="BA156" s="24"/>
      <c r="BB156" s="24"/>
    </row>
    <row r="157" spans="1:54" s="33" customFormat="1" ht="20.100000000000001" customHeight="1" x14ac:dyDescent="0.25">
      <c r="A157" s="46"/>
      <c r="B157" s="35"/>
      <c r="C157" s="39"/>
      <c r="D157" s="39"/>
      <c r="E157" s="39"/>
      <c r="F157" s="39"/>
      <c r="G157" s="38"/>
      <c r="H157" s="39"/>
      <c r="I157" s="41"/>
      <c r="J157" s="41"/>
      <c r="K157" s="39"/>
      <c r="L157" s="39"/>
      <c r="M157" s="39"/>
      <c r="N157" s="39"/>
      <c r="O157" s="39"/>
      <c r="P157" s="39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  <c r="AR157" s="24"/>
      <c r="AS157" s="24"/>
      <c r="AT157" s="24"/>
      <c r="AU157" s="24"/>
      <c r="AV157" s="24"/>
      <c r="AW157" s="24"/>
      <c r="AX157" s="24"/>
      <c r="AY157" s="24"/>
      <c r="AZ157" s="24"/>
      <c r="BA157" s="24"/>
      <c r="BB157" s="24"/>
    </row>
    <row r="158" spans="1:54" s="33" customFormat="1" ht="20.100000000000001" customHeight="1" x14ac:dyDescent="0.25">
      <c r="A158" s="46"/>
      <c r="B158" s="35"/>
      <c r="C158" s="39"/>
      <c r="D158" s="39"/>
      <c r="E158" s="39"/>
      <c r="F158" s="39"/>
      <c r="G158" s="38"/>
      <c r="H158" s="39"/>
      <c r="I158" s="41"/>
      <c r="J158" s="41"/>
      <c r="K158" s="39"/>
      <c r="L158" s="39"/>
      <c r="M158" s="39"/>
      <c r="N158" s="39"/>
      <c r="O158" s="39"/>
      <c r="P158" s="39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  <c r="AR158" s="24"/>
      <c r="AS158" s="24"/>
      <c r="AT158" s="24"/>
      <c r="AU158" s="24"/>
      <c r="AV158" s="24"/>
      <c r="AW158" s="24"/>
      <c r="AX158" s="24"/>
      <c r="AY158" s="24"/>
      <c r="AZ158" s="24"/>
      <c r="BA158" s="24"/>
      <c r="BB158" s="24"/>
    </row>
    <row r="159" spans="1:54" s="33" customFormat="1" ht="20.100000000000001" customHeight="1" x14ac:dyDescent="0.25">
      <c r="A159" s="46"/>
      <c r="B159" s="35"/>
      <c r="C159" s="39"/>
      <c r="D159" s="39"/>
      <c r="E159" s="39"/>
      <c r="F159" s="39"/>
      <c r="G159" s="38"/>
      <c r="H159" s="39"/>
      <c r="I159" s="41"/>
      <c r="J159" s="41"/>
      <c r="K159" s="39"/>
      <c r="L159" s="39"/>
      <c r="M159" s="39"/>
      <c r="N159" s="39"/>
      <c r="O159" s="39"/>
      <c r="P159" s="39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  <c r="AR159" s="24"/>
      <c r="AS159" s="24"/>
      <c r="AT159" s="24"/>
      <c r="AU159" s="24"/>
      <c r="AV159" s="24"/>
      <c r="AW159" s="24"/>
      <c r="AX159" s="24"/>
      <c r="AY159" s="24"/>
      <c r="AZ159" s="24"/>
      <c r="BA159" s="24"/>
      <c r="BB159" s="24"/>
    </row>
    <row r="160" spans="1:54" s="33" customFormat="1" ht="20.100000000000001" customHeight="1" x14ac:dyDescent="0.25">
      <c r="A160" s="46"/>
      <c r="B160" s="35"/>
      <c r="C160" s="39"/>
      <c r="D160" s="39"/>
      <c r="E160" s="39"/>
      <c r="F160" s="39"/>
      <c r="G160" s="38"/>
      <c r="H160" s="39"/>
      <c r="I160" s="41"/>
      <c r="J160" s="41"/>
      <c r="K160" s="39"/>
      <c r="L160" s="39"/>
      <c r="M160" s="39"/>
      <c r="N160" s="39"/>
      <c r="O160" s="39"/>
      <c r="P160" s="39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  <c r="AR160" s="24"/>
      <c r="AS160" s="24"/>
      <c r="AT160" s="24"/>
      <c r="AU160" s="24"/>
      <c r="AV160" s="24"/>
      <c r="AW160" s="24"/>
      <c r="AX160" s="24"/>
      <c r="AY160" s="24"/>
      <c r="AZ160" s="24"/>
      <c r="BA160" s="24"/>
      <c r="BB160" s="24"/>
    </row>
    <row r="161" spans="1:54" s="33" customFormat="1" ht="20.100000000000001" customHeight="1" x14ac:dyDescent="0.25">
      <c r="A161" s="46"/>
      <c r="B161" s="35"/>
      <c r="C161" s="39"/>
      <c r="D161" s="39"/>
      <c r="E161" s="39"/>
      <c r="F161" s="39"/>
      <c r="G161" s="38"/>
      <c r="H161" s="39"/>
      <c r="I161" s="41"/>
      <c r="J161" s="41"/>
      <c r="K161" s="39"/>
      <c r="L161" s="39"/>
      <c r="M161" s="39"/>
      <c r="N161" s="39"/>
      <c r="O161" s="39"/>
      <c r="P161" s="39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  <c r="AR161" s="24"/>
      <c r="AS161" s="24"/>
      <c r="AT161" s="24"/>
      <c r="AU161" s="24"/>
      <c r="AV161" s="24"/>
      <c r="AW161" s="24"/>
      <c r="AX161" s="24"/>
      <c r="AY161" s="24"/>
      <c r="AZ161" s="24"/>
      <c r="BA161" s="24"/>
      <c r="BB161" s="24"/>
    </row>
    <row r="162" spans="1:54" s="33" customFormat="1" ht="20.100000000000001" customHeight="1" x14ac:dyDescent="0.25">
      <c r="A162" s="46"/>
      <c r="B162" s="35"/>
      <c r="C162" s="39"/>
      <c r="D162" s="39"/>
      <c r="E162" s="39"/>
      <c r="F162" s="39"/>
      <c r="G162" s="38"/>
      <c r="H162" s="39"/>
      <c r="I162" s="41"/>
      <c r="J162" s="41"/>
      <c r="K162" s="39"/>
      <c r="L162" s="39"/>
      <c r="M162" s="39"/>
      <c r="N162" s="39"/>
      <c r="O162" s="39"/>
      <c r="P162" s="39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  <c r="AR162" s="24"/>
      <c r="AS162" s="24"/>
      <c r="AT162" s="24"/>
      <c r="AU162" s="24"/>
      <c r="AV162" s="24"/>
      <c r="AW162" s="24"/>
      <c r="AX162" s="24"/>
      <c r="AY162" s="24"/>
      <c r="AZ162" s="24"/>
      <c r="BA162" s="24"/>
      <c r="BB162" s="24"/>
    </row>
    <row r="163" spans="1:54" s="33" customFormat="1" ht="20.100000000000001" customHeight="1" x14ac:dyDescent="0.25">
      <c r="A163" s="46"/>
      <c r="B163" s="35"/>
      <c r="C163" s="39"/>
      <c r="D163" s="39"/>
      <c r="E163" s="39"/>
      <c r="F163" s="39"/>
      <c r="G163" s="38"/>
      <c r="H163" s="39"/>
      <c r="I163" s="41"/>
      <c r="J163" s="41"/>
      <c r="K163" s="39"/>
      <c r="L163" s="39"/>
      <c r="M163" s="39"/>
      <c r="N163" s="39"/>
      <c r="O163" s="39"/>
      <c r="P163" s="39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  <c r="AR163" s="24"/>
      <c r="AS163" s="24"/>
      <c r="AT163" s="24"/>
      <c r="AU163" s="24"/>
      <c r="AV163" s="24"/>
      <c r="AW163" s="24"/>
      <c r="AX163" s="24"/>
      <c r="AY163" s="24"/>
      <c r="AZ163" s="24"/>
      <c r="BA163" s="24"/>
      <c r="BB163" s="24"/>
    </row>
    <row r="164" spans="1:54" s="33" customFormat="1" ht="20.100000000000001" customHeight="1" x14ac:dyDescent="0.25">
      <c r="A164" s="46"/>
      <c r="B164" s="35"/>
      <c r="C164" s="39"/>
      <c r="D164" s="39"/>
      <c r="E164" s="39"/>
      <c r="F164" s="39"/>
      <c r="G164" s="38"/>
      <c r="H164" s="39"/>
      <c r="I164" s="41"/>
      <c r="J164" s="41"/>
      <c r="K164" s="39"/>
      <c r="L164" s="39"/>
      <c r="M164" s="39"/>
      <c r="N164" s="39"/>
      <c r="O164" s="39"/>
      <c r="P164" s="39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  <c r="AR164" s="24"/>
      <c r="AS164" s="24"/>
      <c r="AT164" s="24"/>
      <c r="AU164" s="24"/>
      <c r="AV164" s="24"/>
      <c r="AW164" s="24"/>
      <c r="AX164" s="24"/>
      <c r="AY164" s="24"/>
      <c r="AZ164" s="24"/>
      <c r="BA164" s="24"/>
      <c r="BB164" s="24"/>
    </row>
    <row r="165" spans="1:54" s="33" customFormat="1" ht="20.100000000000001" customHeight="1" x14ac:dyDescent="0.25">
      <c r="A165" s="46"/>
      <c r="B165" s="35"/>
      <c r="C165" s="39"/>
      <c r="D165" s="39"/>
      <c r="E165" s="39"/>
      <c r="F165" s="39"/>
      <c r="G165" s="38"/>
      <c r="H165" s="39"/>
      <c r="I165" s="41"/>
      <c r="J165" s="41"/>
      <c r="K165" s="39"/>
      <c r="L165" s="39"/>
      <c r="M165" s="39"/>
      <c r="N165" s="39"/>
      <c r="O165" s="39"/>
      <c r="P165" s="39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  <c r="AR165" s="24"/>
      <c r="AS165" s="24"/>
      <c r="AT165" s="24"/>
      <c r="AU165" s="24"/>
      <c r="AV165" s="24"/>
      <c r="AW165" s="24"/>
      <c r="AX165" s="24"/>
      <c r="AY165" s="24"/>
      <c r="AZ165" s="24"/>
      <c r="BA165" s="24"/>
      <c r="BB165" s="24"/>
    </row>
    <row r="166" spans="1:54" s="33" customFormat="1" ht="20.100000000000001" customHeight="1" x14ac:dyDescent="0.25">
      <c r="A166" s="46"/>
      <c r="B166" s="35"/>
      <c r="C166" s="39"/>
      <c r="D166" s="39"/>
      <c r="E166" s="39"/>
      <c r="F166" s="39"/>
      <c r="G166" s="38"/>
      <c r="H166" s="39"/>
      <c r="I166" s="41"/>
      <c r="J166" s="41"/>
      <c r="K166" s="39"/>
      <c r="L166" s="39"/>
      <c r="M166" s="39"/>
      <c r="N166" s="39"/>
      <c r="O166" s="39"/>
      <c r="P166" s="39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  <c r="AR166" s="24"/>
      <c r="AS166" s="24"/>
      <c r="AT166" s="24"/>
      <c r="AU166" s="24"/>
      <c r="AV166" s="24"/>
      <c r="AW166" s="24"/>
      <c r="AX166" s="24"/>
      <c r="AY166" s="24"/>
      <c r="AZ166" s="24"/>
      <c r="BA166" s="24"/>
      <c r="BB166" s="24"/>
    </row>
    <row r="167" spans="1:54" s="33" customFormat="1" ht="20.100000000000001" customHeight="1" x14ac:dyDescent="0.25">
      <c r="A167" s="46"/>
      <c r="B167" s="35"/>
      <c r="C167" s="39"/>
      <c r="D167" s="39"/>
      <c r="E167" s="39"/>
      <c r="F167" s="39"/>
      <c r="G167" s="38"/>
      <c r="H167" s="39"/>
      <c r="I167" s="41"/>
      <c r="J167" s="41"/>
      <c r="K167" s="39"/>
      <c r="L167" s="39"/>
      <c r="M167" s="39"/>
      <c r="N167" s="39"/>
      <c r="O167" s="39"/>
      <c r="P167" s="39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  <c r="AR167" s="24"/>
      <c r="AS167" s="24"/>
      <c r="AT167" s="24"/>
      <c r="AU167" s="24"/>
      <c r="AV167" s="24"/>
      <c r="AW167" s="24"/>
      <c r="AX167" s="24"/>
      <c r="AY167" s="24"/>
      <c r="AZ167" s="24"/>
      <c r="BA167" s="24"/>
      <c r="BB167" s="24"/>
    </row>
    <row r="168" spans="1:54" s="33" customFormat="1" ht="20.100000000000001" customHeight="1" x14ac:dyDescent="0.25">
      <c r="A168" s="46"/>
      <c r="B168" s="35"/>
      <c r="C168" s="39"/>
      <c r="D168" s="39"/>
      <c r="E168" s="39"/>
      <c r="F168" s="39"/>
      <c r="G168" s="38"/>
      <c r="H168" s="39"/>
      <c r="I168" s="41"/>
      <c r="J168" s="41"/>
      <c r="K168" s="39"/>
      <c r="L168" s="39"/>
      <c r="M168" s="39"/>
      <c r="N168" s="39"/>
      <c r="O168" s="39"/>
      <c r="P168" s="39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  <c r="AR168" s="24"/>
      <c r="AS168" s="24"/>
      <c r="AT168" s="24"/>
      <c r="AU168" s="24"/>
      <c r="AV168" s="24"/>
      <c r="AW168" s="24"/>
      <c r="AX168" s="24"/>
      <c r="AY168" s="24"/>
      <c r="AZ168" s="24"/>
      <c r="BA168" s="24"/>
      <c r="BB168" s="24"/>
    </row>
    <row r="169" spans="1:54" s="33" customFormat="1" ht="20.100000000000001" customHeight="1" x14ac:dyDescent="0.25">
      <c r="A169" s="46"/>
      <c r="B169" s="35"/>
      <c r="C169" s="39"/>
      <c r="D169" s="39"/>
      <c r="E169" s="39"/>
      <c r="F169" s="39"/>
      <c r="G169" s="38"/>
      <c r="H169" s="39"/>
      <c r="I169" s="41"/>
      <c r="J169" s="41"/>
      <c r="K169" s="39"/>
      <c r="L169" s="39"/>
      <c r="M169" s="39"/>
      <c r="N169" s="39"/>
      <c r="O169" s="39"/>
      <c r="P169" s="39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  <c r="AR169" s="24"/>
      <c r="AS169" s="24"/>
      <c r="AT169" s="24"/>
      <c r="AU169" s="24"/>
      <c r="AV169" s="24"/>
      <c r="AW169" s="24"/>
      <c r="AX169" s="24"/>
      <c r="AY169" s="24"/>
      <c r="AZ169" s="24"/>
      <c r="BA169" s="24"/>
      <c r="BB169" s="24"/>
    </row>
    <row r="170" spans="1:54" s="33" customFormat="1" ht="20.100000000000001" customHeight="1" x14ac:dyDescent="0.25">
      <c r="A170" s="46"/>
      <c r="B170" s="35"/>
      <c r="C170" s="39"/>
      <c r="D170" s="39"/>
      <c r="E170" s="39"/>
      <c r="F170" s="39"/>
      <c r="G170" s="38"/>
      <c r="H170" s="39"/>
      <c r="I170" s="41"/>
      <c r="J170" s="41"/>
      <c r="K170" s="39"/>
      <c r="L170" s="39"/>
      <c r="M170" s="39"/>
      <c r="N170" s="39"/>
      <c r="O170" s="39"/>
      <c r="P170" s="39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  <c r="AR170" s="24"/>
      <c r="AS170" s="24"/>
      <c r="AT170" s="24"/>
      <c r="AU170" s="24"/>
      <c r="AV170" s="24"/>
      <c r="AW170" s="24"/>
      <c r="AX170" s="24"/>
      <c r="AY170" s="24"/>
      <c r="AZ170" s="24"/>
      <c r="BA170" s="24"/>
      <c r="BB170" s="24"/>
    </row>
    <row r="171" spans="1:54" s="33" customFormat="1" ht="20.100000000000001" customHeight="1" x14ac:dyDescent="0.25">
      <c r="A171" s="46"/>
      <c r="B171" s="35"/>
      <c r="C171" s="39"/>
      <c r="D171" s="39"/>
      <c r="E171" s="39"/>
      <c r="F171" s="39"/>
      <c r="G171" s="38"/>
      <c r="H171" s="39"/>
      <c r="I171" s="41"/>
      <c r="J171" s="41"/>
      <c r="K171" s="39"/>
      <c r="L171" s="39"/>
      <c r="M171" s="39"/>
      <c r="N171" s="39"/>
      <c r="O171" s="39"/>
      <c r="P171" s="39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  <c r="AR171" s="24"/>
      <c r="AS171" s="24"/>
      <c r="AT171" s="24"/>
      <c r="AU171" s="24"/>
      <c r="AV171" s="24"/>
      <c r="AW171" s="24"/>
      <c r="AX171" s="24"/>
      <c r="AY171" s="24"/>
      <c r="AZ171" s="24"/>
      <c r="BA171" s="24"/>
      <c r="BB171" s="24"/>
    </row>
    <row r="172" spans="1:54" s="33" customFormat="1" ht="20.100000000000001" customHeight="1" x14ac:dyDescent="0.25">
      <c r="A172" s="46"/>
      <c r="B172" s="35"/>
      <c r="C172" s="39"/>
      <c r="D172" s="39"/>
      <c r="E172" s="39"/>
      <c r="F172" s="39"/>
      <c r="G172" s="38"/>
      <c r="H172" s="39"/>
      <c r="I172" s="41"/>
      <c r="J172" s="41"/>
      <c r="K172" s="39"/>
      <c r="L172" s="39"/>
      <c r="M172" s="39"/>
      <c r="N172" s="39"/>
      <c r="O172" s="39"/>
      <c r="P172" s="39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  <c r="AR172" s="24"/>
      <c r="AS172" s="24"/>
      <c r="AT172" s="24"/>
      <c r="AU172" s="24"/>
      <c r="AV172" s="24"/>
      <c r="AW172" s="24"/>
      <c r="AX172" s="24"/>
      <c r="AY172" s="24"/>
      <c r="AZ172" s="24"/>
      <c r="BA172" s="24"/>
      <c r="BB172" s="24"/>
    </row>
    <row r="173" spans="1:54" s="33" customFormat="1" ht="20.100000000000001" customHeight="1" x14ac:dyDescent="0.25">
      <c r="A173" s="46"/>
      <c r="B173" s="35"/>
      <c r="C173" s="39"/>
      <c r="D173" s="39"/>
      <c r="E173" s="39"/>
      <c r="F173" s="39"/>
      <c r="G173" s="38"/>
      <c r="H173" s="39"/>
      <c r="I173" s="41"/>
      <c r="J173" s="41"/>
      <c r="K173" s="39"/>
      <c r="L173" s="39"/>
      <c r="M173" s="39"/>
      <c r="N173" s="39"/>
      <c r="O173" s="39"/>
      <c r="P173" s="39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</row>
    <row r="174" spans="1:54" s="33" customFormat="1" ht="20.100000000000001" customHeight="1" x14ac:dyDescent="0.25">
      <c r="A174" s="46"/>
      <c r="B174" s="35"/>
      <c r="C174" s="39"/>
      <c r="D174" s="39"/>
      <c r="E174" s="39"/>
      <c r="F174" s="39"/>
      <c r="G174" s="38"/>
      <c r="H174" s="39"/>
      <c r="I174" s="41"/>
      <c r="J174" s="41"/>
      <c r="K174" s="39"/>
      <c r="L174" s="39"/>
      <c r="M174" s="39"/>
      <c r="N174" s="39"/>
      <c r="O174" s="39"/>
      <c r="P174" s="39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</row>
    <row r="175" spans="1:54" s="33" customFormat="1" ht="20.100000000000001" customHeight="1" x14ac:dyDescent="0.25">
      <c r="A175" s="46"/>
      <c r="B175" s="35"/>
      <c r="C175" s="39"/>
      <c r="D175" s="39"/>
      <c r="E175" s="39"/>
      <c r="F175" s="39"/>
      <c r="G175" s="38"/>
      <c r="H175" s="39"/>
      <c r="I175" s="41"/>
      <c r="J175" s="41"/>
      <c r="K175" s="39"/>
      <c r="L175" s="39"/>
      <c r="M175" s="39"/>
      <c r="N175" s="39"/>
      <c r="O175" s="39"/>
      <c r="P175" s="39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</row>
    <row r="176" spans="1:54" s="33" customFormat="1" ht="20.100000000000001" customHeight="1" x14ac:dyDescent="0.25">
      <c r="A176" s="46"/>
      <c r="B176" s="35"/>
      <c r="C176" s="39"/>
      <c r="D176" s="39"/>
      <c r="E176" s="39"/>
      <c r="F176" s="39"/>
      <c r="G176" s="38"/>
      <c r="H176" s="39"/>
      <c r="I176" s="41"/>
      <c r="J176" s="41"/>
      <c r="K176" s="39"/>
      <c r="L176" s="39"/>
      <c r="M176" s="39"/>
      <c r="N176" s="39"/>
      <c r="O176" s="39"/>
      <c r="P176" s="39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</row>
    <row r="177" spans="1:54" s="33" customFormat="1" ht="20.100000000000001" customHeight="1" x14ac:dyDescent="0.25">
      <c r="A177" s="46"/>
      <c r="B177" s="35"/>
      <c r="C177" s="39"/>
      <c r="D177" s="39"/>
      <c r="E177" s="39"/>
      <c r="F177" s="39"/>
      <c r="G177" s="38"/>
      <c r="H177" s="39"/>
      <c r="I177" s="41"/>
      <c r="J177" s="41"/>
      <c r="K177" s="39"/>
      <c r="L177" s="39"/>
      <c r="M177" s="39"/>
      <c r="N177" s="39"/>
      <c r="O177" s="39"/>
      <c r="P177" s="39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</row>
    <row r="178" spans="1:54" s="33" customFormat="1" ht="20.100000000000001" customHeight="1" x14ac:dyDescent="0.25">
      <c r="A178" s="46"/>
      <c r="B178" s="35"/>
      <c r="C178" s="39"/>
      <c r="D178" s="39"/>
      <c r="E178" s="39"/>
      <c r="F178" s="39"/>
      <c r="G178" s="38"/>
      <c r="H178" s="39"/>
      <c r="I178" s="41"/>
      <c r="J178" s="41"/>
      <c r="K178" s="39"/>
      <c r="L178" s="39"/>
      <c r="M178" s="39"/>
      <c r="N178" s="39"/>
      <c r="O178" s="39"/>
      <c r="P178" s="39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</row>
    <row r="179" spans="1:54" s="33" customFormat="1" ht="20.100000000000001" customHeight="1" x14ac:dyDescent="0.25">
      <c r="A179" s="46"/>
      <c r="B179" s="35"/>
      <c r="C179" s="39"/>
      <c r="D179" s="39"/>
      <c r="E179" s="39"/>
      <c r="F179" s="39"/>
      <c r="G179" s="38"/>
      <c r="H179" s="39"/>
      <c r="I179" s="41"/>
      <c r="J179" s="41"/>
      <c r="K179" s="39"/>
      <c r="L179" s="39"/>
      <c r="M179" s="39"/>
      <c r="N179" s="39"/>
      <c r="O179" s="39"/>
      <c r="P179" s="39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</row>
    <row r="180" spans="1:54" s="33" customFormat="1" ht="20.100000000000001" customHeight="1" x14ac:dyDescent="0.25">
      <c r="A180" s="46"/>
      <c r="B180" s="35"/>
      <c r="C180" s="39"/>
      <c r="D180" s="39"/>
      <c r="E180" s="39"/>
      <c r="F180" s="39"/>
      <c r="G180" s="38"/>
      <c r="H180" s="39"/>
      <c r="I180" s="41"/>
      <c r="J180" s="41"/>
      <c r="K180" s="39"/>
      <c r="L180" s="39"/>
      <c r="M180" s="39"/>
      <c r="N180" s="39"/>
      <c r="O180" s="39"/>
      <c r="P180" s="39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</row>
    <row r="181" spans="1:54" s="33" customFormat="1" ht="20.100000000000001" customHeight="1" x14ac:dyDescent="0.25">
      <c r="A181" s="46"/>
      <c r="B181" s="35"/>
      <c r="C181" s="39"/>
      <c r="D181" s="39"/>
      <c r="E181" s="39"/>
      <c r="F181" s="39"/>
      <c r="G181" s="38"/>
      <c r="H181" s="39"/>
      <c r="I181" s="41"/>
      <c r="J181" s="41"/>
      <c r="K181" s="39"/>
      <c r="L181" s="39"/>
      <c r="M181" s="39"/>
      <c r="N181" s="39"/>
      <c r="O181" s="39"/>
      <c r="P181" s="39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</row>
    <row r="182" spans="1:54" s="33" customFormat="1" ht="20.100000000000001" customHeight="1" x14ac:dyDescent="0.25">
      <c r="A182" s="46"/>
      <c r="B182" s="35"/>
      <c r="C182" s="39"/>
      <c r="D182" s="39"/>
      <c r="E182" s="39"/>
      <c r="F182" s="39"/>
      <c r="G182" s="38"/>
      <c r="H182" s="39"/>
      <c r="I182" s="41"/>
      <c r="J182" s="41"/>
      <c r="K182" s="39"/>
      <c r="L182" s="39"/>
      <c r="M182" s="39"/>
      <c r="N182" s="39"/>
      <c r="O182" s="39"/>
      <c r="P182" s="39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</row>
    <row r="183" spans="1:54" s="33" customFormat="1" ht="20.100000000000001" customHeight="1" x14ac:dyDescent="0.25">
      <c r="A183" s="46"/>
      <c r="B183" s="35"/>
      <c r="C183" s="39"/>
      <c r="D183" s="39"/>
      <c r="E183" s="39"/>
      <c r="F183" s="39"/>
      <c r="G183" s="38"/>
      <c r="H183" s="39"/>
      <c r="I183" s="41"/>
      <c r="J183" s="41"/>
      <c r="K183" s="39"/>
      <c r="L183" s="39"/>
      <c r="M183" s="39"/>
      <c r="N183" s="39"/>
      <c r="O183" s="39"/>
      <c r="P183" s="39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  <c r="AR183" s="24"/>
      <c r="AS183" s="24"/>
      <c r="AT183" s="24"/>
      <c r="AU183" s="24"/>
      <c r="AV183" s="24"/>
      <c r="AW183" s="24"/>
      <c r="AX183" s="24"/>
      <c r="AY183" s="24"/>
      <c r="AZ183" s="24"/>
      <c r="BA183" s="24"/>
      <c r="BB183" s="24"/>
    </row>
    <row r="184" spans="1:54" s="33" customFormat="1" ht="20.100000000000001" customHeight="1" x14ac:dyDescent="0.25">
      <c r="A184" s="46"/>
      <c r="B184" s="35"/>
      <c r="C184" s="39"/>
      <c r="D184" s="39"/>
      <c r="E184" s="39"/>
      <c r="F184" s="39"/>
      <c r="G184" s="38"/>
      <c r="H184" s="39"/>
      <c r="I184" s="41"/>
      <c r="J184" s="41"/>
      <c r="K184" s="39"/>
      <c r="L184" s="39"/>
      <c r="M184" s="39"/>
      <c r="N184" s="39"/>
      <c r="O184" s="39"/>
      <c r="P184" s="39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  <c r="AR184" s="24"/>
      <c r="AS184" s="24"/>
      <c r="AT184" s="24"/>
      <c r="AU184" s="24"/>
      <c r="AV184" s="24"/>
      <c r="AW184" s="24"/>
      <c r="AX184" s="24"/>
      <c r="AY184" s="24"/>
      <c r="AZ184" s="24"/>
      <c r="BA184" s="24"/>
      <c r="BB184" s="24"/>
    </row>
    <row r="185" spans="1:54" s="33" customFormat="1" ht="20.100000000000001" customHeight="1" x14ac:dyDescent="0.25">
      <c r="A185" s="46"/>
      <c r="B185" s="35"/>
      <c r="C185" s="39"/>
      <c r="D185" s="39"/>
      <c r="E185" s="39"/>
      <c r="F185" s="39"/>
      <c r="G185" s="38"/>
      <c r="H185" s="39"/>
      <c r="I185" s="41"/>
      <c r="J185" s="41"/>
      <c r="K185" s="39"/>
      <c r="L185" s="39"/>
      <c r="M185" s="39"/>
      <c r="N185" s="39"/>
      <c r="O185" s="39"/>
      <c r="P185" s="39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  <c r="AR185" s="24"/>
      <c r="AS185" s="24"/>
      <c r="AT185" s="24"/>
      <c r="AU185" s="24"/>
      <c r="AV185" s="24"/>
      <c r="AW185" s="24"/>
      <c r="AX185" s="24"/>
      <c r="AY185" s="24"/>
      <c r="AZ185" s="24"/>
      <c r="BA185" s="24"/>
      <c r="BB185" s="24"/>
    </row>
    <row r="186" spans="1:54" s="33" customFormat="1" ht="20.100000000000001" customHeight="1" x14ac:dyDescent="0.25">
      <c r="A186" s="46"/>
      <c r="B186" s="35"/>
      <c r="C186" s="39"/>
      <c r="D186" s="39"/>
      <c r="E186" s="39"/>
      <c r="F186" s="39"/>
      <c r="G186" s="38"/>
      <c r="H186" s="39"/>
      <c r="I186" s="41"/>
      <c r="J186" s="41"/>
      <c r="K186" s="39"/>
      <c r="L186" s="39"/>
      <c r="M186" s="39"/>
      <c r="N186" s="39"/>
      <c r="O186" s="39"/>
      <c r="P186" s="39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  <c r="AR186" s="24"/>
      <c r="AS186" s="24"/>
      <c r="AT186" s="24"/>
      <c r="AU186" s="24"/>
      <c r="AV186" s="24"/>
      <c r="AW186" s="24"/>
      <c r="AX186" s="24"/>
      <c r="AY186" s="24"/>
      <c r="AZ186" s="24"/>
      <c r="BA186" s="24"/>
      <c r="BB186" s="24"/>
    </row>
    <row r="187" spans="1:54" s="33" customFormat="1" ht="20.100000000000001" customHeight="1" x14ac:dyDescent="0.25">
      <c r="A187" s="46"/>
      <c r="B187" s="35"/>
      <c r="C187" s="39"/>
      <c r="D187" s="39"/>
      <c r="E187" s="39"/>
      <c r="F187" s="39"/>
      <c r="G187" s="38"/>
      <c r="H187" s="39"/>
      <c r="I187" s="41"/>
      <c r="J187" s="41"/>
      <c r="K187" s="39"/>
      <c r="L187" s="39"/>
      <c r="M187" s="39"/>
      <c r="N187" s="39"/>
      <c r="O187" s="39"/>
      <c r="P187" s="39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  <c r="AR187" s="24"/>
      <c r="AS187" s="24"/>
      <c r="AT187" s="24"/>
      <c r="AU187" s="24"/>
      <c r="AV187" s="24"/>
      <c r="AW187" s="24"/>
      <c r="AX187" s="24"/>
      <c r="AY187" s="24"/>
      <c r="AZ187" s="24"/>
      <c r="BA187" s="24"/>
      <c r="BB187" s="24"/>
    </row>
    <row r="188" spans="1:54" s="33" customFormat="1" ht="20.100000000000001" customHeight="1" x14ac:dyDescent="0.25">
      <c r="A188" s="46"/>
      <c r="B188" s="35"/>
      <c r="C188" s="39"/>
      <c r="D188" s="39"/>
      <c r="E188" s="39"/>
      <c r="F188" s="39"/>
      <c r="G188" s="38"/>
      <c r="H188" s="39"/>
      <c r="I188" s="41"/>
      <c r="J188" s="41"/>
      <c r="K188" s="39"/>
      <c r="L188" s="39"/>
      <c r="M188" s="39"/>
      <c r="N188" s="39"/>
      <c r="O188" s="39"/>
      <c r="P188" s="39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  <c r="AR188" s="24"/>
      <c r="AS188" s="24"/>
      <c r="AT188" s="24"/>
      <c r="AU188" s="24"/>
      <c r="AV188" s="24"/>
      <c r="AW188" s="24"/>
      <c r="AX188" s="24"/>
      <c r="AY188" s="24"/>
      <c r="AZ188" s="24"/>
      <c r="BA188" s="24"/>
      <c r="BB188" s="24"/>
    </row>
    <row r="189" spans="1:54" s="33" customFormat="1" ht="20.100000000000001" customHeight="1" x14ac:dyDescent="0.25">
      <c r="A189" s="46"/>
      <c r="B189" s="35"/>
      <c r="C189" s="39"/>
      <c r="D189" s="39"/>
      <c r="E189" s="39"/>
      <c r="F189" s="39"/>
      <c r="G189" s="38"/>
      <c r="H189" s="39"/>
      <c r="I189" s="41"/>
      <c r="J189" s="41"/>
      <c r="K189" s="39"/>
      <c r="L189" s="39"/>
      <c r="M189" s="39"/>
      <c r="N189" s="39"/>
      <c r="O189" s="39"/>
      <c r="P189" s="39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  <c r="AR189" s="24"/>
      <c r="AS189" s="24"/>
      <c r="AT189" s="24"/>
      <c r="AU189" s="24"/>
      <c r="AV189" s="24"/>
      <c r="AW189" s="24"/>
      <c r="AX189" s="24"/>
      <c r="AY189" s="24"/>
      <c r="AZ189" s="24"/>
      <c r="BA189" s="24"/>
      <c r="BB189" s="24"/>
    </row>
    <row r="190" spans="1:54" s="33" customFormat="1" ht="20.100000000000001" customHeight="1" x14ac:dyDescent="0.25">
      <c r="A190" s="46"/>
      <c r="B190" s="35"/>
      <c r="C190" s="39"/>
      <c r="D190" s="39"/>
      <c r="E190" s="39"/>
      <c r="F190" s="39"/>
      <c r="G190" s="38"/>
      <c r="H190" s="39"/>
      <c r="I190" s="41"/>
      <c r="J190" s="41"/>
      <c r="K190" s="39"/>
      <c r="L190" s="39"/>
      <c r="M190" s="39"/>
      <c r="N190" s="39"/>
      <c r="O190" s="39"/>
      <c r="P190" s="39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  <c r="AR190" s="24"/>
      <c r="AS190" s="24"/>
      <c r="AT190" s="24"/>
      <c r="AU190" s="24"/>
      <c r="AV190" s="24"/>
      <c r="AW190" s="24"/>
      <c r="AX190" s="24"/>
      <c r="AY190" s="24"/>
      <c r="AZ190" s="24"/>
      <c r="BA190" s="24"/>
      <c r="BB190" s="24"/>
    </row>
    <row r="191" spans="1:54" s="33" customFormat="1" ht="20.100000000000001" customHeight="1" x14ac:dyDescent="0.25">
      <c r="A191" s="46"/>
      <c r="B191" s="35"/>
      <c r="C191" s="39"/>
      <c r="D191" s="39"/>
      <c r="E191" s="39"/>
      <c r="F191" s="39"/>
      <c r="G191" s="38"/>
      <c r="H191" s="39"/>
      <c r="I191" s="41"/>
      <c r="J191" s="41"/>
      <c r="K191" s="39"/>
      <c r="L191" s="39"/>
      <c r="M191" s="39"/>
      <c r="N191" s="39"/>
      <c r="O191" s="39"/>
      <c r="P191" s="39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  <c r="AR191" s="24"/>
      <c r="AS191" s="24"/>
      <c r="AT191" s="24"/>
      <c r="AU191" s="24"/>
      <c r="AV191" s="24"/>
      <c r="AW191" s="24"/>
      <c r="AX191" s="24"/>
      <c r="AY191" s="24"/>
      <c r="AZ191" s="24"/>
      <c r="BA191" s="24"/>
      <c r="BB191" s="24"/>
    </row>
    <row r="192" spans="1:54" s="33" customFormat="1" ht="20.100000000000001" customHeight="1" x14ac:dyDescent="0.25">
      <c r="A192" s="46"/>
      <c r="B192" s="35"/>
      <c r="C192" s="39"/>
      <c r="D192" s="39"/>
      <c r="E192" s="39"/>
      <c r="F192" s="39"/>
      <c r="G192" s="38"/>
      <c r="H192" s="39"/>
      <c r="I192" s="41"/>
      <c r="J192" s="41"/>
      <c r="K192" s="39"/>
      <c r="L192" s="39"/>
      <c r="M192" s="39"/>
      <c r="N192" s="39"/>
      <c r="O192" s="39"/>
      <c r="P192" s="39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  <c r="AR192" s="24"/>
      <c r="AS192" s="24"/>
      <c r="AT192" s="24"/>
      <c r="AU192" s="24"/>
      <c r="AV192" s="24"/>
      <c r="AW192" s="24"/>
      <c r="AX192" s="24"/>
      <c r="AY192" s="24"/>
      <c r="AZ192" s="24"/>
      <c r="BA192" s="24"/>
      <c r="BB192" s="24"/>
    </row>
    <row r="193" spans="1:54" s="33" customFormat="1" ht="20.100000000000001" customHeight="1" x14ac:dyDescent="0.25">
      <c r="A193" s="46"/>
      <c r="B193" s="35"/>
      <c r="C193" s="39"/>
      <c r="D193" s="39"/>
      <c r="E193" s="39"/>
      <c r="F193" s="39"/>
      <c r="G193" s="38"/>
      <c r="H193" s="39"/>
      <c r="I193" s="41"/>
      <c r="J193" s="41"/>
      <c r="K193" s="39"/>
      <c r="L193" s="39"/>
      <c r="M193" s="39"/>
      <c r="N193" s="39"/>
      <c r="O193" s="39"/>
      <c r="P193" s="39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  <c r="AR193" s="24"/>
      <c r="AS193" s="24"/>
      <c r="AT193" s="24"/>
      <c r="AU193" s="24"/>
      <c r="AV193" s="24"/>
      <c r="AW193" s="24"/>
      <c r="AX193" s="24"/>
      <c r="AY193" s="24"/>
      <c r="AZ193" s="24"/>
      <c r="BA193" s="24"/>
      <c r="BB193" s="24"/>
    </row>
    <row r="194" spans="1:54" s="33" customFormat="1" ht="20.100000000000001" customHeight="1" x14ac:dyDescent="0.25">
      <c r="A194" s="46"/>
      <c r="B194" s="35"/>
      <c r="C194" s="39"/>
      <c r="D194" s="39"/>
      <c r="E194" s="39"/>
      <c r="F194" s="39"/>
      <c r="G194" s="38"/>
      <c r="H194" s="39"/>
      <c r="I194" s="41"/>
      <c r="J194" s="41"/>
      <c r="K194" s="39"/>
      <c r="L194" s="39"/>
      <c r="M194" s="39"/>
      <c r="N194" s="39"/>
      <c r="O194" s="39"/>
      <c r="P194" s="39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  <c r="AR194" s="24"/>
      <c r="AS194" s="24"/>
      <c r="AT194" s="24"/>
      <c r="AU194" s="24"/>
      <c r="AV194" s="24"/>
      <c r="AW194" s="24"/>
      <c r="AX194" s="24"/>
      <c r="AY194" s="24"/>
      <c r="AZ194" s="24"/>
      <c r="BA194" s="24"/>
      <c r="BB194" s="24"/>
    </row>
    <row r="195" spans="1:54" s="33" customFormat="1" ht="20.100000000000001" customHeight="1" x14ac:dyDescent="0.25">
      <c r="A195" s="46"/>
      <c r="B195" s="35"/>
      <c r="C195" s="39"/>
      <c r="D195" s="39"/>
      <c r="E195" s="39"/>
      <c r="F195" s="39"/>
      <c r="G195" s="38"/>
      <c r="H195" s="39"/>
      <c r="I195" s="41"/>
      <c r="J195" s="41"/>
      <c r="K195" s="39"/>
      <c r="L195" s="39"/>
      <c r="M195" s="39"/>
      <c r="N195" s="39"/>
      <c r="O195" s="39"/>
      <c r="P195" s="39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  <c r="AR195" s="24"/>
      <c r="AS195" s="24"/>
      <c r="AT195" s="24"/>
      <c r="AU195" s="24"/>
      <c r="AV195" s="24"/>
      <c r="AW195" s="24"/>
      <c r="AX195" s="24"/>
      <c r="AY195" s="24"/>
      <c r="AZ195" s="24"/>
      <c r="BA195" s="24"/>
      <c r="BB195" s="24"/>
    </row>
    <row r="196" spans="1:54" s="33" customFormat="1" ht="20.100000000000001" customHeight="1" x14ac:dyDescent="0.25">
      <c r="A196" s="46"/>
      <c r="B196" s="35"/>
      <c r="C196" s="39"/>
      <c r="D196" s="39"/>
      <c r="E196" s="39"/>
      <c r="F196" s="39"/>
      <c r="G196" s="38"/>
      <c r="H196" s="39"/>
      <c r="I196" s="41"/>
      <c r="J196" s="41"/>
      <c r="K196" s="39"/>
      <c r="L196" s="39"/>
      <c r="M196" s="39"/>
      <c r="N196" s="39"/>
      <c r="O196" s="39"/>
      <c r="P196" s="39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  <c r="AR196" s="24"/>
      <c r="AS196" s="24"/>
      <c r="AT196" s="24"/>
      <c r="AU196" s="24"/>
      <c r="AV196" s="24"/>
      <c r="AW196" s="24"/>
      <c r="AX196" s="24"/>
      <c r="AY196" s="24"/>
      <c r="AZ196" s="24"/>
      <c r="BA196" s="24"/>
      <c r="BB196" s="24"/>
    </row>
    <row r="197" spans="1:54" s="33" customFormat="1" ht="20.100000000000001" customHeight="1" x14ac:dyDescent="0.25">
      <c r="A197" s="46"/>
      <c r="B197" s="35"/>
      <c r="C197" s="39"/>
      <c r="D197" s="39"/>
      <c r="E197" s="39"/>
      <c r="F197" s="39"/>
      <c r="G197" s="38"/>
      <c r="H197" s="39"/>
      <c r="I197" s="41"/>
      <c r="J197" s="41"/>
      <c r="K197" s="39"/>
      <c r="L197" s="39"/>
      <c r="M197" s="39"/>
      <c r="N197" s="39"/>
      <c r="O197" s="39"/>
      <c r="P197" s="39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  <c r="AR197" s="24"/>
      <c r="AS197" s="24"/>
      <c r="AT197" s="24"/>
      <c r="AU197" s="24"/>
      <c r="AV197" s="24"/>
      <c r="AW197" s="24"/>
      <c r="AX197" s="24"/>
      <c r="AY197" s="24"/>
      <c r="AZ197" s="24"/>
      <c r="BA197" s="24"/>
      <c r="BB197" s="24"/>
    </row>
    <row r="198" spans="1:54" s="33" customFormat="1" ht="20.100000000000001" customHeight="1" x14ac:dyDescent="0.25">
      <c r="A198" s="46"/>
      <c r="B198" s="35"/>
      <c r="C198" s="39"/>
      <c r="D198" s="39"/>
      <c r="E198" s="39"/>
      <c r="F198" s="39"/>
      <c r="G198" s="38"/>
      <c r="H198" s="39"/>
      <c r="I198" s="41"/>
      <c r="J198" s="41"/>
      <c r="K198" s="39"/>
      <c r="L198" s="39"/>
      <c r="M198" s="39"/>
      <c r="N198" s="39"/>
      <c r="O198" s="39"/>
      <c r="P198" s="39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  <c r="AR198" s="24"/>
      <c r="AS198" s="24"/>
      <c r="AT198" s="24"/>
      <c r="AU198" s="24"/>
      <c r="AV198" s="24"/>
      <c r="AW198" s="24"/>
      <c r="AX198" s="24"/>
      <c r="AY198" s="24"/>
      <c r="AZ198" s="24"/>
      <c r="BA198" s="24"/>
      <c r="BB198" s="24"/>
    </row>
    <row r="199" spans="1:54" s="33" customFormat="1" ht="20.100000000000001" customHeight="1" x14ac:dyDescent="0.25">
      <c r="A199" s="46"/>
      <c r="B199" s="35"/>
      <c r="C199" s="39"/>
      <c r="D199" s="39"/>
      <c r="E199" s="39"/>
      <c r="F199" s="39"/>
      <c r="G199" s="38"/>
      <c r="H199" s="39"/>
      <c r="I199" s="41"/>
      <c r="J199" s="41"/>
      <c r="K199" s="39"/>
      <c r="L199" s="39"/>
      <c r="M199" s="39"/>
      <c r="N199" s="39"/>
      <c r="O199" s="39"/>
      <c r="P199" s="39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24"/>
      <c r="AW199" s="24"/>
      <c r="AX199" s="24"/>
      <c r="AY199" s="24"/>
      <c r="AZ199" s="24"/>
      <c r="BA199" s="24"/>
      <c r="BB199" s="24"/>
    </row>
    <row r="200" spans="1:54" s="33" customFormat="1" ht="20.100000000000001" customHeight="1" x14ac:dyDescent="0.25">
      <c r="A200" s="46"/>
      <c r="B200" s="35"/>
      <c r="C200" s="39"/>
      <c r="D200" s="39"/>
      <c r="E200" s="39"/>
      <c r="F200" s="39"/>
      <c r="G200" s="38"/>
      <c r="H200" s="39"/>
      <c r="I200" s="41"/>
      <c r="J200" s="41"/>
      <c r="K200" s="39"/>
      <c r="L200" s="39"/>
      <c r="M200" s="39"/>
      <c r="N200" s="39"/>
      <c r="O200" s="39"/>
      <c r="P200" s="39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  <c r="AR200" s="24"/>
      <c r="AS200" s="24"/>
      <c r="AT200" s="24"/>
      <c r="AU200" s="24"/>
      <c r="AV200" s="24"/>
      <c r="AW200" s="24"/>
      <c r="AX200" s="24"/>
      <c r="AY200" s="24"/>
      <c r="AZ200" s="24"/>
      <c r="BA200" s="24"/>
      <c r="BB200" s="24"/>
    </row>
    <row r="201" spans="1:54" s="33" customFormat="1" ht="20.100000000000001" customHeight="1" x14ac:dyDescent="0.25">
      <c r="A201" s="46"/>
      <c r="B201" s="35"/>
      <c r="C201" s="39"/>
      <c r="D201" s="39"/>
      <c r="E201" s="39"/>
      <c r="F201" s="39"/>
      <c r="G201" s="38"/>
      <c r="H201" s="39"/>
      <c r="I201" s="41"/>
      <c r="J201" s="41"/>
      <c r="K201" s="39"/>
      <c r="L201" s="39"/>
      <c r="M201" s="39"/>
      <c r="N201" s="39"/>
      <c r="O201" s="39"/>
      <c r="P201" s="39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  <c r="AR201" s="24"/>
      <c r="AS201" s="24"/>
      <c r="AT201" s="24"/>
      <c r="AU201" s="24"/>
      <c r="AV201" s="24"/>
      <c r="AW201" s="24"/>
      <c r="AX201" s="24"/>
      <c r="AY201" s="24"/>
      <c r="AZ201" s="24"/>
      <c r="BA201" s="24"/>
      <c r="BB201" s="24"/>
    </row>
    <row r="202" spans="1:54" s="33" customFormat="1" ht="20.100000000000001" customHeight="1" x14ac:dyDescent="0.25">
      <c r="A202" s="46"/>
      <c r="B202" s="35"/>
      <c r="C202" s="39"/>
      <c r="D202" s="39"/>
      <c r="E202" s="39"/>
      <c r="F202" s="39"/>
      <c r="G202" s="38"/>
      <c r="H202" s="39"/>
      <c r="I202" s="41"/>
      <c r="J202" s="41"/>
      <c r="K202" s="39"/>
      <c r="L202" s="39"/>
      <c r="M202" s="39"/>
      <c r="N202" s="39"/>
      <c r="O202" s="39"/>
      <c r="P202" s="39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  <c r="AR202" s="24"/>
      <c r="AS202" s="24"/>
      <c r="AT202" s="24"/>
      <c r="AU202" s="24"/>
      <c r="AV202" s="24"/>
      <c r="AW202" s="24"/>
      <c r="AX202" s="24"/>
      <c r="AY202" s="24"/>
      <c r="AZ202" s="24"/>
      <c r="BA202" s="24"/>
      <c r="BB202" s="24"/>
    </row>
    <row r="203" spans="1:54" s="33" customFormat="1" ht="20.100000000000001" customHeight="1" x14ac:dyDescent="0.25">
      <c r="A203" s="46"/>
      <c r="B203" s="35"/>
      <c r="C203" s="39"/>
      <c r="D203" s="39"/>
      <c r="E203" s="39"/>
      <c r="F203" s="39"/>
      <c r="G203" s="38"/>
      <c r="H203" s="39"/>
      <c r="I203" s="41"/>
      <c r="J203" s="41"/>
      <c r="K203" s="39"/>
      <c r="L203" s="39"/>
      <c r="M203" s="39"/>
      <c r="N203" s="39"/>
      <c r="O203" s="39"/>
      <c r="P203" s="39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  <c r="AR203" s="24"/>
      <c r="AS203" s="24"/>
      <c r="AT203" s="24"/>
      <c r="AU203" s="24"/>
      <c r="AV203" s="24"/>
      <c r="AW203" s="24"/>
      <c r="AX203" s="24"/>
      <c r="AY203" s="24"/>
      <c r="AZ203" s="24"/>
      <c r="BA203" s="24"/>
      <c r="BB203" s="24"/>
    </row>
    <row r="204" spans="1:54" s="33" customFormat="1" ht="20.100000000000001" customHeight="1" x14ac:dyDescent="0.25">
      <c r="A204" s="46"/>
      <c r="B204" s="35"/>
      <c r="C204" s="39"/>
      <c r="D204" s="39"/>
      <c r="E204" s="39"/>
      <c r="F204" s="39"/>
      <c r="G204" s="38"/>
      <c r="H204" s="39"/>
      <c r="I204" s="41"/>
      <c r="J204" s="41"/>
      <c r="K204" s="39"/>
      <c r="L204" s="39"/>
      <c r="M204" s="39"/>
      <c r="N204" s="39"/>
      <c r="O204" s="39"/>
      <c r="P204" s="39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  <c r="AR204" s="24"/>
      <c r="AS204" s="24"/>
      <c r="AT204" s="24"/>
      <c r="AU204" s="24"/>
      <c r="AV204" s="24"/>
      <c r="AW204" s="24"/>
      <c r="AX204" s="24"/>
      <c r="AY204" s="24"/>
      <c r="AZ204" s="24"/>
      <c r="BA204" s="24"/>
      <c r="BB204" s="24"/>
    </row>
    <row r="205" spans="1:54" s="33" customFormat="1" ht="20.100000000000001" customHeight="1" x14ac:dyDescent="0.25">
      <c r="A205" s="46"/>
      <c r="B205" s="35"/>
      <c r="C205" s="39"/>
      <c r="D205" s="39"/>
      <c r="E205" s="39"/>
      <c r="F205" s="39"/>
      <c r="G205" s="38"/>
      <c r="H205" s="39"/>
      <c r="I205" s="41"/>
      <c r="J205" s="41"/>
      <c r="K205" s="39"/>
      <c r="L205" s="39"/>
      <c r="M205" s="39"/>
      <c r="N205" s="39"/>
      <c r="O205" s="39"/>
      <c r="P205" s="39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  <c r="AR205" s="24"/>
      <c r="AS205" s="24"/>
      <c r="AT205" s="24"/>
      <c r="AU205" s="24"/>
      <c r="AV205" s="24"/>
      <c r="AW205" s="24"/>
      <c r="AX205" s="24"/>
      <c r="AY205" s="24"/>
      <c r="AZ205" s="24"/>
      <c r="BA205" s="24"/>
      <c r="BB205" s="24"/>
    </row>
    <row r="206" spans="1:54" s="33" customFormat="1" ht="20.100000000000001" customHeight="1" x14ac:dyDescent="0.25">
      <c r="A206" s="50"/>
      <c r="B206" s="51"/>
      <c r="C206" s="52"/>
      <c r="D206" s="52"/>
      <c r="E206" s="52"/>
      <c r="F206" s="52"/>
      <c r="G206" s="53"/>
      <c r="H206" s="52"/>
      <c r="I206" s="54"/>
      <c r="J206" s="54"/>
      <c r="K206" s="52"/>
      <c r="L206" s="52"/>
      <c r="M206" s="52"/>
      <c r="N206" s="52"/>
      <c r="O206" s="52"/>
      <c r="P206" s="52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  <c r="AR206" s="24"/>
      <c r="AS206" s="24"/>
      <c r="AT206" s="24"/>
      <c r="AU206" s="24"/>
      <c r="AV206" s="24"/>
      <c r="AW206" s="24"/>
      <c r="AX206" s="24"/>
      <c r="AY206" s="24"/>
      <c r="AZ206" s="24"/>
      <c r="BA206" s="24"/>
      <c r="BB206" s="24"/>
    </row>
  </sheetData>
  <dataValidations count="1">
    <dataValidation type="list" allowBlank="1" showInputMessage="1" showErrorMessage="1" sqref="AN7" xr:uid="{34ED9084-12C7-4073-8286-83AFD91ED5FE}">
      <formula1>$AO$7:$AO$14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Yiyuan Jia</cp:lastModifiedBy>
  <dcterms:created xsi:type="dcterms:W3CDTF">2015-01-25T11:31:25Z</dcterms:created>
  <dcterms:modified xsi:type="dcterms:W3CDTF">2018-07-04T14:58:03Z</dcterms:modified>
</cp:coreProperties>
</file>