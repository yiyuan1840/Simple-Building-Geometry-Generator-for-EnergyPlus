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JIA\Documents\Params Catalyst\examples\simple-project\umcit-params\epc+ver-0-0-3_params\"/>
    </mc:Choice>
  </mc:AlternateContent>
  <bookViews>
    <workbookView xWindow="13020" yWindow="0" windowWidth="7110" windowHeight="4830" activeTab="1"/>
  </bookViews>
  <sheets>
    <sheet name="Planning" sheetId="3" r:id="rId1"/>
    <sheet name="Geometry" sheetId="5" r:id="rId2"/>
    <sheet name="Systems" sheetId="2" r:id="rId3"/>
    <sheet name="Sheet1" sheetId="6" r:id="rId4"/>
  </sheets>
  <functionGroups builtInGroupCount="18"/>
  <calcPr calcId="171027"/>
  <extLst>
    <ext xmlns:x14="http://schemas.microsoft.com/office/spreadsheetml/2009/9/main" uri="{8193D73E-4604-4355-AFF4-8A2333D13BE4}">
      <x14:definedNames>
        <x14:definedName name="Double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oadI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oadZoneNa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oadZoneTa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oadZoneTyp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I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2" l="1"/>
  <c r="C22" i="2"/>
  <c r="C30" i="2"/>
  <c r="C38" i="2"/>
  <c r="C46" i="2"/>
  <c r="C54" i="2"/>
  <c r="C62" i="2"/>
  <c r="C60" i="2"/>
  <c r="C21" i="2"/>
  <c r="C45" i="2"/>
  <c r="C15" i="2"/>
  <c r="C23" i="2"/>
  <c r="C31" i="2"/>
  <c r="C39" i="2"/>
  <c r="C47" i="2"/>
  <c r="C55" i="2"/>
  <c r="C63" i="2"/>
  <c r="C9" i="2"/>
  <c r="C16" i="2"/>
  <c r="C24" i="2"/>
  <c r="C32" i="2"/>
  <c r="C40" i="2"/>
  <c r="C48" i="2"/>
  <c r="C56" i="2"/>
  <c r="C7" i="2"/>
  <c r="C8" i="2"/>
  <c r="C17" i="2"/>
  <c r="C25" i="2"/>
  <c r="C33" i="2"/>
  <c r="C41" i="2"/>
  <c r="C49" i="2"/>
  <c r="C57" i="2"/>
  <c r="C10" i="2"/>
  <c r="C18" i="2"/>
  <c r="C26" i="2"/>
  <c r="C34" i="2"/>
  <c r="C42" i="2"/>
  <c r="C50" i="2"/>
  <c r="C58" i="2"/>
  <c r="C11" i="2"/>
  <c r="C19" i="2"/>
  <c r="C27" i="2"/>
  <c r="C35" i="2"/>
  <c r="C43" i="2"/>
  <c r="C51" i="2"/>
  <c r="C59" i="2"/>
  <c r="C12" i="2"/>
  <c r="C20" i="2"/>
  <c r="C28" i="2"/>
  <c r="C36" i="2"/>
  <c r="C44" i="2"/>
  <c r="C52" i="2"/>
  <c r="C13" i="2"/>
  <c r="C29" i="2"/>
  <c r="C37" i="2"/>
  <c r="C53" i="2"/>
  <c r="C61" i="2"/>
  <c r="A7" i="5" l="1"/>
</calcChain>
</file>

<file path=xl/sharedStrings.xml><?xml version="1.0" encoding="utf-8"?>
<sst xmlns="http://schemas.openxmlformats.org/spreadsheetml/2006/main" count="599" uniqueCount="143">
  <si>
    <t>Zone Name</t>
  </si>
  <si>
    <t>ID</t>
  </si>
  <si>
    <t>IDF File Directory</t>
  </si>
  <si>
    <t>System</t>
  </si>
  <si>
    <t>Zone Tag</t>
  </si>
  <si>
    <t>Zone Area</t>
  </si>
  <si>
    <t>Zone Height</t>
  </si>
  <si>
    <t>North is 0</t>
  </si>
  <si>
    <t>Zone_origin_x</t>
  </si>
  <si>
    <t>Zone_origin_y</t>
  </si>
  <si>
    <t>Zone_origin_z</t>
  </si>
  <si>
    <t>y</t>
  </si>
  <si>
    <t>Zone Width</t>
  </si>
  <si>
    <t># of Zones</t>
  </si>
  <si>
    <t>Perimeter Zone [y/n]</t>
  </si>
  <si>
    <t>Roof [y/n]</t>
  </si>
  <si>
    <t>n</t>
  </si>
  <si>
    <t>Window to Wall Ratio</t>
  </si>
  <si>
    <t>Window Sill Height</t>
  </si>
  <si>
    <t>Zone  Length</t>
  </si>
  <si>
    <t>Main Program</t>
  </si>
  <si>
    <t>Labs</t>
  </si>
  <si>
    <t>Prep</t>
  </si>
  <si>
    <t>Office</t>
  </si>
  <si>
    <t>Class/Study</t>
  </si>
  <si>
    <t xml:space="preserve">Subtotal </t>
  </si>
  <si>
    <t>Maker's Space</t>
  </si>
  <si>
    <t>Classrooms</t>
  </si>
  <si>
    <t>Quantity</t>
  </si>
  <si>
    <t>Lab A</t>
  </si>
  <si>
    <t>Lab B</t>
  </si>
  <si>
    <t>Lab C</t>
  </si>
  <si>
    <t>Lab D</t>
  </si>
  <si>
    <t>Ground Floor [y/n]</t>
  </si>
  <si>
    <t>Perimeter 2 Normal (Leave empty if Core Zone)</t>
  </si>
  <si>
    <t>Perimeter 1 Normal (Leave empty if Core Zone)</t>
  </si>
  <si>
    <t>Construction Template</t>
  </si>
  <si>
    <t>ASHRAE 90.1 2010 Climate Zone 1</t>
  </si>
  <si>
    <t>ASHRAE 90.1 2010 Climate Zone 2</t>
  </si>
  <si>
    <t>ASHRAE 90.1 2010 Climate Zone 3</t>
  </si>
  <si>
    <t>ASHRAE 90.1 2010 Climate Zone 4</t>
  </si>
  <si>
    <t>ASHRAE 90.1 2010 Climate Zone 5</t>
  </si>
  <si>
    <t>ASHRAE 90.1 2010 Climate Zone 6</t>
  </si>
  <si>
    <t>ASHRAE 90.1 2010 Climate Zone 7</t>
  </si>
  <si>
    <t>ASHRAE 90.1 2010 Climate Zone 8</t>
  </si>
  <si>
    <t>Space Type Schedules</t>
  </si>
  <si>
    <t>MECHE</t>
  </si>
  <si>
    <t>Occupancy</t>
  </si>
  <si>
    <t>Metabolic Rate</t>
  </si>
  <si>
    <t>Lighting</t>
  </si>
  <si>
    <t xml:space="preserve">Equipment </t>
  </si>
  <si>
    <t>Air Leakage</t>
  </si>
  <si>
    <t>Infiltration</t>
  </si>
  <si>
    <t>Outdoor Air</t>
  </si>
  <si>
    <t>BLDSV</t>
  </si>
  <si>
    <t>PUBLC</t>
  </si>
  <si>
    <t>STORG</t>
  </si>
  <si>
    <t>RADIO</t>
  </si>
  <si>
    <t>OPTRM</t>
  </si>
  <si>
    <t>PATRM</t>
  </si>
  <si>
    <t>Occupants Schedule</t>
  </si>
  <si>
    <t>Through: 12/31,
    For: Weekdays,
    Until: 05:00,0.0,
    Until: 07:00,0.1,
    Until: 08:00,0.3,
    Until: 12:00,0.95,
    Until: 13:00,0.5,
    Until: 17:00,0.95,
    Until: 18:00,0.3,
    Until: 24:00,0.0,
    For: SummerDesignDay,
    Until: 06:00,0.0,
    Until: 22:00,1.0,
    Until: 24:00,0.05,
    For: WinterDesignDay,
    Until: 06:00,0.0,
    Until: 08:00,0.1,
    Until: 12:00,0.3,
    Until: 17:00,0.1,
    Until: 19:00,0.05,
    Until: 24:00,0.0,
    For: Saturday Sunday Holidays AllOtherDays,
    Until: 24:00,0.0;</t>
  </si>
  <si>
    <t>Lighting Schedule</t>
  </si>
  <si>
    <t xml:space="preserve">    Through: 12/31,
    For: Weekdays SummerDesignDay,
    Until: 05:00,0.05,
    Until: 07:00,0.1,
    Until: 08:00,0.3,
    Until: 17:00,0.9,
    Until: 18:00,0.5,
    Until: 20:00,0.3,
    Until: 22:00,0.2,
    Until: 23:00,0.1,
    Until: 24:00,0.05,
    For: WinterDesignDay,
    Until: 06:00,0.05,
    Until: 08:00,0.1,
    Until: 12:00,0.3,
    Until: 17:00,0.15,
    Until: 24:00,0.05,
    For: Saturday Sunday Holidays AllOtherDays,
    Until: 24:00,0.05;</t>
  </si>
  <si>
    <t>Equipment Schedule</t>
  </si>
  <si>
    <t>Infiltraition Schedule</t>
  </si>
  <si>
    <t xml:space="preserve">    Through: 12/31,
    For: AllDays,
    Until: 24:00, 1.0;</t>
  </si>
  <si>
    <t xml:space="preserve">    Through: 12/31,
    For: Weekdays SummerDesignDay,
    Until: 08:00,0.30,
    Until: 12:00,0.90,
    Until: 13:00,0.80,
    Until: 17:00,0.90,
    Until: 18:00,0.50,
    Until: 24:00,0.30,
    For: WinterDesignDay,
    Until: 06:00,0.30,
    Until: 08:00,0.4,
    Until: 12:00,0.5,
    Until: 17:00,0.35,
    Until: 24:00,0.30,
    For: Saturday Sunday Holidays AllOtherDays,
    Until: 24:00,0.30;</t>
  </si>
  <si>
    <t>Space Type Name</t>
  </si>
  <si>
    <t>Mechnical Rooms</t>
  </si>
  <si>
    <t>DHW Schedule</t>
  </si>
  <si>
    <t xml:space="preserve">    Through: 12/31,
    For: AllDays,
    Until: 06:00, 0,
    Until: 07:00, 0.05,
    Until: 08:00, 0.2,
    Until: 09:00, 0.1,
    Until: 18:00, 0,
    Until: 21:00, 0.05,
    Until: 24:00, 0;</t>
  </si>
  <si>
    <t>DHW Peak Flow Rate</t>
  </si>
  <si>
    <t>DHW Setpoint</t>
  </si>
  <si>
    <t>Building Service Room</t>
  </si>
  <si>
    <t>AGL2-MECHE-001</t>
  </si>
  <si>
    <t>AGL2-BLDSV-002</t>
  </si>
  <si>
    <t>AGL2-PUBLC-003</t>
  </si>
  <si>
    <t>AGL2-BLDSV-004</t>
  </si>
  <si>
    <t>AGL2-BLDSV-005</t>
  </si>
  <si>
    <t>AGL3-STORG-006</t>
  </si>
  <si>
    <t>AGL3-STORG-007</t>
  </si>
  <si>
    <t>AGL3-PUBLC-008</t>
  </si>
  <si>
    <t>AGL3-PUBLC-009</t>
  </si>
  <si>
    <t>AGL3-RADIO-010</t>
  </si>
  <si>
    <t>AGL4-OPTRM-011</t>
  </si>
  <si>
    <t>AGL4-PUBLC-012</t>
  </si>
  <si>
    <t>AGL4-OPTRM-013</t>
  </si>
  <si>
    <t>AGL4-STORG-014</t>
  </si>
  <si>
    <t>AGL4-PATRM-015</t>
  </si>
  <si>
    <t>AGL4-PATRM-016</t>
  </si>
  <si>
    <t>AGL4-PATRM-017</t>
  </si>
  <si>
    <t>AGL4-PATRM-018</t>
  </si>
  <si>
    <t>AGL4-OFFCP-019</t>
  </si>
  <si>
    <t>AGL5-MECHE-020</t>
  </si>
  <si>
    <t>AGL5-OFFCP-021</t>
  </si>
  <si>
    <t>AGL5-STORG-022</t>
  </si>
  <si>
    <t>AGL5-PUBLC-023</t>
  </si>
  <si>
    <t>AGL5-OPTRM-024</t>
  </si>
  <si>
    <t>AGL5-PATRM-025</t>
  </si>
  <si>
    <t>AGL5-OFFCP-026</t>
  </si>
  <si>
    <t>AGL5-PUBLC-027</t>
  </si>
  <si>
    <t>AGL6-PATRM-028</t>
  </si>
  <si>
    <t>AGL6-PATRM-029</t>
  </si>
  <si>
    <t>AGL6-PATRM-030</t>
  </si>
  <si>
    <t>AGL6-PATRM-031</t>
  </si>
  <si>
    <t>AGL6_PATSP-032</t>
  </si>
  <si>
    <t>AGL6-PUBLC-033</t>
  </si>
  <si>
    <t>AGL7-PATRM-034</t>
  </si>
  <si>
    <t>AGL7-PATRM-035</t>
  </si>
  <si>
    <t>AGL7-PATRM-036</t>
  </si>
  <si>
    <t>AGL7-PATRM-037</t>
  </si>
  <si>
    <t>AGL7-PATSP-038</t>
  </si>
  <si>
    <t>AGL7-PUBLC-039</t>
  </si>
  <si>
    <t>AGL8-PATRM-040</t>
  </si>
  <si>
    <t>AGL8-PATRM-041</t>
  </si>
  <si>
    <t>AGL8-PATRM-042</t>
  </si>
  <si>
    <t>AGL8-PATRM-043</t>
  </si>
  <si>
    <t>AGL8-PATSP-044</t>
  </si>
  <si>
    <t>AGL8-PUBLC-045</t>
  </si>
  <si>
    <t>AGL9-PATRM-046</t>
  </si>
  <si>
    <t>AGL9-PATRM-047</t>
  </si>
  <si>
    <t>AGL9-PATRM-048</t>
  </si>
  <si>
    <t>AGL9-PATRM-049</t>
  </si>
  <si>
    <t>AGL9-PATSP-050</t>
  </si>
  <si>
    <t>AGL9-PUBLC-051</t>
  </si>
  <si>
    <t>AGL0-PATRM-052</t>
  </si>
  <si>
    <t>AGL0-PATRM-053</t>
  </si>
  <si>
    <t>AGL0-PATRM-054</t>
  </si>
  <si>
    <t>AGL0-PATRM-055</t>
  </si>
  <si>
    <t>AGL0-PATSP-056</t>
  </si>
  <si>
    <t>AGL0-PUBLC-057</t>
  </si>
  <si>
    <t>c:\Users\YJIA\Documents\Params Catalyst\examples\simple-project\umcit-params\epc+ver-0-0-3_params\NongeoXport 20180124-1614.idf</t>
  </si>
  <si>
    <t>VAV-2</t>
  </si>
  <si>
    <t>VAV-3</t>
  </si>
  <si>
    <t>VAV-1</t>
  </si>
  <si>
    <t>OFFCP</t>
  </si>
  <si>
    <t>PATSP</t>
  </si>
  <si>
    <t xml:space="preserve">Lobby/Corrdors </t>
  </si>
  <si>
    <t>Storage</t>
  </si>
  <si>
    <t>Radiology</t>
  </si>
  <si>
    <t xml:space="preserve">Operating Room </t>
  </si>
  <si>
    <t xml:space="preserve">Patient Room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</si>
</sst>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1" borderId="7" xfId="0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vertical="center"/>
    </xf>
    <xf numFmtId="0" fontId="3" fillId="4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0" fillId="0" borderId="0" xfId="0" applyBorder="1"/>
    <xf numFmtId="1" fontId="3" fillId="0" borderId="0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</xdr:row>
          <xdr:rowOff>95250</xdr:rowOff>
        </xdr:from>
        <xdr:to>
          <xdr:col>1</xdr:col>
          <xdr:colOff>523875</xdr:colOff>
          <xdr:row>3</xdr:row>
          <xdr:rowOff>133350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11"/>
  <sheetViews>
    <sheetView zoomScale="90" zoomScaleNormal="90" workbookViewId="0">
      <selection activeCell="C17" sqref="C17"/>
    </sheetView>
  </sheetViews>
  <sheetFormatPr defaultRowHeight="15" x14ac:dyDescent="0.25"/>
  <cols>
    <col min="1" max="1" width="3.7109375" customWidth="1"/>
    <col min="2" max="3" width="23.140625" customWidth="1"/>
    <col min="4" max="12" width="15.7109375" customWidth="1"/>
  </cols>
  <sheetData>
    <row r="1" spans="2:12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2:12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4" spans="2:12" ht="19.5" customHeight="1" x14ac:dyDescent="0.25"/>
    <row r="5" spans="2:12" s="11" customFormat="1" ht="29.25" customHeight="1" x14ac:dyDescent="0.25">
      <c r="B5" s="12" t="s">
        <v>20</v>
      </c>
      <c r="C5" s="12" t="s">
        <v>28</v>
      </c>
      <c r="D5" s="12" t="s">
        <v>21</v>
      </c>
      <c r="E5" s="12" t="s">
        <v>22</v>
      </c>
      <c r="F5" s="12" t="s">
        <v>23</v>
      </c>
      <c r="G5" s="12" t="s">
        <v>24</v>
      </c>
      <c r="H5" s="12" t="s">
        <v>25</v>
      </c>
    </row>
    <row r="6" spans="2:12" x14ac:dyDescent="0.25">
      <c r="B6" s="6" t="s">
        <v>29</v>
      </c>
      <c r="C6">
        <v>1</v>
      </c>
      <c r="D6">
        <v>20</v>
      </c>
      <c r="E6">
        <v>30</v>
      </c>
      <c r="F6">
        <v>40</v>
      </c>
      <c r="G6">
        <v>10</v>
      </c>
      <c r="H6">
        <v>100</v>
      </c>
    </row>
    <row r="7" spans="2:12" x14ac:dyDescent="0.25">
      <c r="B7" s="7" t="s">
        <v>30</v>
      </c>
      <c r="C7">
        <v>2</v>
      </c>
    </row>
    <row r="8" spans="2:12" x14ac:dyDescent="0.25">
      <c r="B8" s="8" t="s">
        <v>31</v>
      </c>
      <c r="C8">
        <v>3</v>
      </c>
    </row>
    <row r="9" spans="2:12" x14ac:dyDescent="0.25">
      <c r="B9" s="7" t="s">
        <v>32</v>
      </c>
      <c r="C9">
        <v>3</v>
      </c>
    </row>
    <row r="10" spans="2:12" x14ac:dyDescent="0.25">
      <c r="B10" s="9" t="s">
        <v>26</v>
      </c>
      <c r="C10">
        <v>4</v>
      </c>
    </row>
    <row r="11" spans="2:12" x14ac:dyDescent="0.25">
      <c r="B11" s="10" t="s">
        <v>27</v>
      </c>
      <c r="C11">
        <v>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C206"/>
  <sheetViews>
    <sheetView tabSelected="1" zoomScaleNormal="100" workbookViewId="0">
      <selection activeCell="V11" sqref="V11"/>
    </sheetView>
  </sheetViews>
  <sheetFormatPr defaultRowHeight="12.75" x14ac:dyDescent="0.25"/>
  <cols>
    <col min="1" max="1" width="15.42578125" style="15" customWidth="1"/>
    <col min="2" max="2" width="17.28515625" style="57" bestFit="1" customWidth="1"/>
    <col min="3" max="3" width="17.42578125" style="15" customWidth="1"/>
    <col min="4" max="4" width="13.42578125" style="15" customWidth="1"/>
    <col min="5" max="5" width="13.5703125" style="15" customWidth="1"/>
    <col min="6" max="6" width="21.5703125" style="15" customWidth="1"/>
    <col min="7" max="7" width="16.140625" style="25" customWidth="1"/>
    <col min="8" max="8" width="16.140625" style="15" customWidth="1"/>
    <col min="9" max="9" width="17.85546875" style="29" customWidth="1"/>
    <col min="10" max="10" width="16.85546875" style="29" customWidth="1"/>
    <col min="11" max="12" width="20.140625" style="15" customWidth="1"/>
    <col min="13" max="14" width="18" style="15" customWidth="1"/>
    <col min="15" max="15" width="21" style="15" bestFit="1" customWidth="1"/>
    <col min="16" max="16" width="18.42578125" style="15" bestFit="1" customWidth="1"/>
    <col min="17" max="17" width="9.140625" style="14"/>
    <col min="18" max="18" width="20.7109375" style="14" customWidth="1"/>
    <col min="19" max="19" width="18" style="14" bestFit="1" customWidth="1"/>
    <col min="20" max="20" width="12.7109375" style="14" bestFit="1" customWidth="1"/>
    <col min="21" max="21" width="14.28515625" style="14" customWidth="1"/>
    <col min="22" max="22" width="11.7109375" style="14" customWidth="1"/>
    <col min="23" max="23" width="13.5703125" style="14" customWidth="1"/>
    <col min="24" max="24" width="13.7109375" style="14" customWidth="1"/>
    <col min="25" max="25" width="10.7109375" style="14" customWidth="1"/>
    <col min="26" max="26" width="10.42578125" style="14" bestFit="1" customWidth="1"/>
    <col min="27" max="27" width="19.5703125" style="14" customWidth="1"/>
    <col min="28" max="28" width="11.7109375" style="14" customWidth="1"/>
    <col min="29" max="29" width="27.7109375" style="14" customWidth="1"/>
    <col min="30" max="30" width="32.5703125" style="14" customWidth="1"/>
    <col min="31" max="31" width="25.28515625" style="14" customWidth="1"/>
    <col min="32" max="32" width="17.42578125" style="14" bestFit="1" customWidth="1"/>
    <col min="33" max="33" width="18" style="14" customWidth="1"/>
    <col min="34" max="38" width="9.140625" style="14"/>
    <col min="39" max="39" width="29.28515625" style="14" customWidth="1"/>
    <col min="40" max="40" width="28.140625" style="14" bestFit="1" customWidth="1"/>
    <col min="41" max="54" width="9.140625" style="14"/>
    <col min="55" max="16384" width="9.140625" style="15"/>
  </cols>
  <sheetData>
    <row r="1" spans="1:55" x14ac:dyDescent="0.25">
      <c r="A1" s="14"/>
      <c r="B1" s="52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55" x14ac:dyDescent="0.25">
      <c r="A2" s="14"/>
      <c r="B2" s="52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</row>
    <row r="3" spans="1:55" x14ac:dyDescent="0.25">
      <c r="A3" s="14"/>
      <c r="B3" s="52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</row>
    <row r="4" spans="1:55" x14ac:dyDescent="0.25">
      <c r="A4" s="14"/>
      <c r="B4" s="52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</row>
    <row r="5" spans="1:55" x14ac:dyDescent="0.25">
      <c r="A5" s="14"/>
      <c r="B5" s="53"/>
      <c r="C5" s="5"/>
      <c r="D5" s="5"/>
      <c r="E5" s="5"/>
      <c r="F5" s="5"/>
      <c r="G5" s="5"/>
      <c r="H5" s="5"/>
      <c r="I5" s="5"/>
      <c r="J5" s="5"/>
      <c r="K5" s="5" t="s">
        <v>7</v>
      </c>
      <c r="L5" s="5" t="s">
        <v>7</v>
      </c>
      <c r="M5" s="5"/>
      <c r="N5" s="5"/>
      <c r="O5" s="14"/>
      <c r="P5" s="14"/>
    </row>
    <row r="6" spans="1:55" s="2" customFormat="1" ht="59.25" customHeight="1" x14ac:dyDescent="0.25">
      <c r="A6" s="3" t="s">
        <v>13</v>
      </c>
      <c r="B6" s="61" t="s">
        <v>0</v>
      </c>
      <c r="C6" s="3" t="s">
        <v>8</v>
      </c>
      <c r="D6" s="3" t="s">
        <v>9</v>
      </c>
      <c r="E6" s="3" t="s">
        <v>10</v>
      </c>
      <c r="F6" s="3" t="s">
        <v>14</v>
      </c>
      <c r="G6" s="3" t="s">
        <v>5</v>
      </c>
      <c r="H6" s="3" t="s">
        <v>6</v>
      </c>
      <c r="I6" s="3" t="s">
        <v>19</v>
      </c>
      <c r="J6" s="48" t="s">
        <v>12</v>
      </c>
      <c r="K6" s="4" t="s">
        <v>35</v>
      </c>
      <c r="L6" s="4" t="s">
        <v>34</v>
      </c>
      <c r="M6" s="3" t="s">
        <v>15</v>
      </c>
      <c r="N6" s="3" t="s">
        <v>33</v>
      </c>
      <c r="O6" s="13" t="s">
        <v>17</v>
      </c>
      <c r="P6" s="3" t="s">
        <v>18</v>
      </c>
      <c r="Q6" s="5"/>
      <c r="R6" s="51" t="s">
        <v>68</v>
      </c>
      <c r="S6" s="30" t="s">
        <v>45</v>
      </c>
      <c r="T6" s="31" t="s">
        <v>47</v>
      </c>
      <c r="U6" s="31" t="s">
        <v>48</v>
      </c>
      <c r="V6" s="31" t="s">
        <v>50</v>
      </c>
      <c r="W6" s="31" t="s">
        <v>49</v>
      </c>
      <c r="X6" s="31" t="s">
        <v>51</v>
      </c>
      <c r="Y6" s="31" t="s">
        <v>52</v>
      </c>
      <c r="Z6" s="31" t="s">
        <v>53</v>
      </c>
      <c r="AA6" s="31" t="s">
        <v>72</v>
      </c>
      <c r="AB6" s="31" t="s">
        <v>73</v>
      </c>
      <c r="AC6" s="31" t="s">
        <v>60</v>
      </c>
      <c r="AD6" s="31" t="s">
        <v>64</v>
      </c>
      <c r="AE6" s="31" t="s">
        <v>62</v>
      </c>
      <c r="AF6" s="31" t="s">
        <v>65</v>
      </c>
      <c r="AG6" s="31" t="s">
        <v>70</v>
      </c>
      <c r="AH6" s="31"/>
      <c r="AI6" s="31"/>
      <c r="AJ6" s="31"/>
      <c r="AK6" s="31"/>
      <c r="AL6" s="32"/>
      <c r="AM6" s="5"/>
      <c r="AN6" s="33" t="s">
        <v>36</v>
      </c>
      <c r="AO6" s="34"/>
      <c r="AP6" s="34"/>
      <c r="AQ6" s="34"/>
      <c r="AR6" s="3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</row>
    <row r="7" spans="1:55" ht="20.100000000000001" customHeight="1" x14ac:dyDescent="0.25">
      <c r="A7" s="58">
        <f>COUNTA(B7:B206)</f>
        <v>57</v>
      </c>
      <c r="B7" s="54" t="s">
        <v>75</v>
      </c>
      <c r="C7" s="46">
        <v>0</v>
      </c>
      <c r="D7" s="16">
        <v>0</v>
      </c>
      <c r="E7" s="16">
        <v>0</v>
      </c>
      <c r="F7" s="42" t="s">
        <v>11</v>
      </c>
      <c r="G7" s="22">
        <v>1740.9093170000001</v>
      </c>
      <c r="H7" s="16">
        <v>4.5</v>
      </c>
      <c r="I7" s="44">
        <v>38.1</v>
      </c>
      <c r="J7" s="26">
        <v>45.693157926509187</v>
      </c>
      <c r="K7" s="46">
        <v>0</v>
      </c>
      <c r="L7" s="16">
        <v>90</v>
      </c>
      <c r="M7" s="16" t="s">
        <v>16</v>
      </c>
      <c r="N7" s="16" t="s">
        <v>11</v>
      </c>
      <c r="O7" s="16">
        <v>0.4</v>
      </c>
      <c r="P7" s="16">
        <v>1.5</v>
      </c>
      <c r="R7" s="49" t="s">
        <v>69</v>
      </c>
      <c r="S7" s="49" t="s">
        <v>46</v>
      </c>
      <c r="T7" s="17"/>
      <c r="U7" s="17"/>
      <c r="V7" s="17">
        <v>1.2</v>
      </c>
      <c r="W7" s="17">
        <v>1.5</v>
      </c>
      <c r="X7" s="17"/>
      <c r="Y7" s="17"/>
      <c r="Z7" s="17"/>
      <c r="AA7" s="17"/>
      <c r="AB7" s="17"/>
      <c r="AC7" s="50" t="s">
        <v>61</v>
      </c>
      <c r="AD7" s="50" t="s">
        <v>67</v>
      </c>
      <c r="AE7" s="50" t="s">
        <v>63</v>
      </c>
      <c r="AF7" s="50" t="s">
        <v>66</v>
      </c>
      <c r="AG7" s="50" t="s">
        <v>71</v>
      </c>
      <c r="AH7" s="17"/>
      <c r="AI7" s="17"/>
      <c r="AJ7" s="17"/>
      <c r="AK7" s="17"/>
      <c r="AL7" s="17"/>
      <c r="AN7" s="41" t="s">
        <v>41</v>
      </c>
      <c r="AO7" s="36" t="s">
        <v>37</v>
      </c>
      <c r="AP7" s="36"/>
      <c r="AQ7" s="37"/>
      <c r="AR7" s="17"/>
      <c r="BC7" s="14"/>
    </row>
    <row r="8" spans="1:55" ht="20.100000000000001" customHeight="1" x14ac:dyDescent="0.25">
      <c r="A8" s="59"/>
      <c r="B8" s="55" t="s">
        <v>76</v>
      </c>
      <c r="C8" s="60">
        <v>88.1</v>
      </c>
      <c r="D8" s="19">
        <v>0</v>
      </c>
      <c r="E8" s="19">
        <v>0</v>
      </c>
      <c r="F8" s="43" t="s">
        <v>11</v>
      </c>
      <c r="G8" s="23">
        <v>480.122704</v>
      </c>
      <c r="H8" s="19">
        <v>4.5</v>
      </c>
      <c r="I8" s="45">
        <v>38.1</v>
      </c>
      <c r="J8" s="27">
        <v>12.601645774278214</v>
      </c>
      <c r="K8" s="47">
        <v>0</v>
      </c>
      <c r="L8" s="19">
        <v>270</v>
      </c>
      <c r="M8" s="19" t="s">
        <v>16</v>
      </c>
      <c r="N8" s="19" t="s">
        <v>11</v>
      </c>
      <c r="O8" s="19">
        <v>0.4</v>
      </c>
      <c r="P8" s="19">
        <v>1.5</v>
      </c>
      <c r="R8" s="49" t="s">
        <v>74</v>
      </c>
      <c r="S8" s="49" t="s">
        <v>54</v>
      </c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N8" s="38"/>
      <c r="AO8" s="39" t="s">
        <v>38</v>
      </c>
      <c r="AP8" s="40"/>
      <c r="AQ8" s="40"/>
      <c r="AR8" s="38"/>
      <c r="BC8" s="14"/>
    </row>
    <row r="9" spans="1:55" ht="20.100000000000001" customHeight="1" x14ac:dyDescent="0.25">
      <c r="A9" s="59"/>
      <c r="B9" s="55" t="s">
        <v>77</v>
      </c>
      <c r="C9" s="60">
        <v>176.2</v>
      </c>
      <c r="D9" s="19">
        <v>0</v>
      </c>
      <c r="E9" s="19">
        <v>0</v>
      </c>
      <c r="F9" s="19" t="s">
        <v>16</v>
      </c>
      <c r="G9" s="23">
        <v>1061.5096779999999</v>
      </c>
      <c r="H9" s="19">
        <v>4.5</v>
      </c>
      <c r="I9" s="45">
        <v>30.48</v>
      </c>
      <c r="J9" s="27">
        <v>34.826433005249342</v>
      </c>
      <c r="K9" s="47"/>
      <c r="L9" s="19"/>
      <c r="M9" s="19" t="s">
        <v>16</v>
      </c>
      <c r="N9" s="19" t="s">
        <v>11</v>
      </c>
      <c r="O9" s="19">
        <v>0.4</v>
      </c>
      <c r="P9" s="19">
        <v>1.5</v>
      </c>
      <c r="R9" s="49" t="s">
        <v>138</v>
      </c>
      <c r="S9" s="49" t="s">
        <v>55</v>
      </c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N9" s="38"/>
      <c r="AO9" s="39" t="s">
        <v>39</v>
      </c>
      <c r="AP9" s="40"/>
      <c r="AQ9" s="40"/>
      <c r="AR9" s="38"/>
      <c r="BC9" s="14"/>
    </row>
    <row r="10" spans="1:55" ht="20.100000000000001" customHeight="1" x14ac:dyDescent="0.25">
      <c r="A10" s="18"/>
      <c r="B10" s="55" t="s">
        <v>78</v>
      </c>
      <c r="C10" s="27">
        <v>256.67999999999995</v>
      </c>
      <c r="D10" s="19">
        <v>0</v>
      </c>
      <c r="E10" s="19">
        <v>0</v>
      </c>
      <c r="F10" s="15" t="s">
        <v>16</v>
      </c>
      <c r="G10" s="23">
        <v>309.27408700000001</v>
      </c>
      <c r="H10" s="19">
        <v>4.5</v>
      </c>
      <c r="I10" s="45">
        <v>30.48</v>
      </c>
      <c r="J10" s="27">
        <v>10.146787631233597</v>
      </c>
      <c r="K10" s="47">
        <v>90</v>
      </c>
      <c r="L10" s="19"/>
      <c r="M10" s="19" t="s">
        <v>16</v>
      </c>
      <c r="N10" s="19" t="s">
        <v>11</v>
      </c>
      <c r="O10" s="19">
        <v>0.4</v>
      </c>
      <c r="P10" s="19">
        <v>1.5</v>
      </c>
      <c r="R10" s="49" t="s">
        <v>139</v>
      </c>
      <c r="S10" s="49" t="s">
        <v>56</v>
      </c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N10" s="38"/>
      <c r="AO10" s="39" t="s">
        <v>40</v>
      </c>
      <c r="AP10" s="40"/>
      <c r="AQ10" s="40"/>
      <c r="AR10" s="38"/>
      <c r="BC10" s="14"/>
    </row>
    <row r="11" spans="1:55" ht="20.100000000000001" customHeight="1" x14ac:dyDescent="0.25">
      <c r="A11" s="18"/>
      <c r="B11" s="55" t="s">
        <v>79</v>
      </c>
      <c r="C11" s="27">
        <v>337.15999999999997</v>
      </c>
      <c r="D11" s="19">
        <v>0</v>
      </c>
      <c r="E11" s="19">
        <v>0</v>
      </c>
      <c r="F11" s="43" t="s">
        <v>11</v>
      </c>
      <c r="G11" s="23">
        <v>955.41445199999998</v>
      </c>
      <c r="H11" s="19">
        <v>4.5</v>
      </c>
      <c r="I11" s="45">
        <v>29.5656</v>
      </c>
      <c r="J11" s="27">
        <v>32.315070622615472</v>
      </c>
      <c r="K11" s="47">
        <v>270</v>
      </c>
      <c r="L11" s="19">
        <v>180</v>
      </c>
      <c r="M11" s="19" t="s">
        <v>16</v>
      </c>
      <c r="N11" s="19" t="s">
        <v>11</v>
      </c>
      <c r="O11" s="19">
        <v>0.4</v>
      </c>
      <c r="P11" s="19">
        <v>1.5</v>
      </c>
      <c r="R11" s="49" t="s">
        <v>140</v>
      </c>
      <c r="S11" s="49" t="s">
        <v>57</v>
      </c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N11" s="38"/>
      <c r="AO11" s="39" t="s">
        <v>41</v>
      </c>
      <c r="AP11" s="40"/>
      <c r="AQ11" s="40"/>
      <c r="AR11" s="38"/>
      <c r="BC11" s="14"/>
    </row>
    <row r="12" spans="1:55" ht="20.100000000000001" customHeight="1" x14ac:dyDescent="0.25">
      <c r="A12" s="18"/>
      <c r="B12" s="55" t="s">
        <v>80</v>
      </c>
      <c r="C12" s="27">
        <v>416.72559999999999</v>
      </c>
      <c r="D12" s="19">
        <v>0</v>
      </c>
      <c r="E12" s="19">
        <v>0</v>
      </c>
      <c r="F12" s="43" t="s">
        <v>11</v>
      </c>
      <c r="G12" s="23">
        <v>318.378581</v>
      </c>
      <c r="H12" s="19">
        <v>4.5</v>
      </c>
      <c r="I12" s="45">
        <v>46.024799999999999</v>
      </c>
      <c r="J12" s="27">
        <v>6.9175440414732927</v>
      </c>
      <c r="K12" s="47">
        <v>0</v>
      </c>
      <c r="L12" s="19">
        <v>270</v>
      </c>
      <c r="M12" s="19" t="s">
        <v>16</v>
      </c>
      <c r="N12" s="19" t="s">
        <v>16</v>
      </c>
      <c r="O12" s="19">
        <v>0.4</v>
      </c>
      <c r="P12" s="19">
        <v>1.5</v>
      </c>
      <c r="R12" s="49" t="s">
        <v>141</v>
      </c>
      <c r="S12" s="49" t="s">
        <v>58</v>
      </c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N12" s="38"/>
      <c r="AO12" s="39" t="s">
        <v>42</v>
      </c>
      <c r="AP12" s="40"/>
      <c r="AQ12" s="40"/>
      <c r="AR12" s="38"/>
      <c r="BC12" s="14"/>
    </row>
    <row r="13" spans="1:55" ht="20.100000000000001" customHeight="1" x14ac:dyDescent="0.25">
      <c r="A13" s="18"/>
      <c r="B13" s="55" t="s">
        <v>81</v>
      </c>
      <c r="C13" s="27">
        <v>512.75040000000001</v>
      </c>
      <c r="D13" s="19">
        <v>0</v>
      </c>
      <c r="E13" s="19">
        <v>0</v>
      </c>
      <c r="F13" s="43" t="s">
        <v>11</v>
      </c>
      <c r="G13" s="23">
        <v>1165.4681350000001</v>
      </c>
      <c r="H13" s="19">
        <v>4.5</v>
      </c>
      <c r="I13" s="45">
        <v>29.260800000000003</v>
      </c>
      <c r="J13" s="27">
        <v>39.830357850776466</v>
      </c>
      <c r="K13" s="47"/>
      <c r="L13" s="19"/>
      <c r="M13" s="19" t="s">
        <v>16</v>
      </c>
      <c r="N13" s="19" t="s">
        <v>16</v>
      </c>
      <c r="O13" s="19">
        <v>0.4</v>
      </c>
      <c r="P13" s="19">
        <v>1.5</v>
      </c>
      <c r="R13" s="49" t="s">
        <v>142</v>
      </c>
      <c r="S13" s="49" t="s">
        <v>59</v>
      </c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N13" s="38"/>
      <c r="AO13" s="39" t="s">
        <v>43</v>
      </c>
      <c r="AP13" s="40"/>
      <c r="AQ13" s="40"/>
      <c r="AR13" s="38"/>
      <c r="BC13" s="14"/>
    </row>
    <row r="14" spans="1:55" ht="20.100000000000001" customHeight="1" x14ac:dyDescent="0.25">
      <c r="A14" s="18"/>
      <c r="B14" s="55" t="s">
        <v>82</v>
      </c>
      <c r="C14" s="27">
        <v>592.01120000000003</v>
      </c>
      <c r="D14" s="19">
        <v>0</v>
      </c>
      <c r="E14" s="19">
        <v>0</v>
      </c>
      <c r="F14" s="19" t="s">
        <v>16</v>
      </c>
      <c r="G14" s="23">
        <v>840.86505299999999</v>
      </c>
      <c r="H14" s="19">
        <v>4.5</v>
      </c>
      <c r="I14" s="45">
        <v>30.48</v>
      </c>
      <c r="J14" s="27">
        <v>27.587436122047244</v>
      </c>
      <c r="K14" s="47"/>
      <c r="L14" s="19"/>
      <c r="M14" s="19" t="s">
        <v>16</v>
      </c>
      <c r="N14" s="19" t="s">
        <v>16</v>
      </c>
      <c r="O14" s="19">
        <v>0.4</v>
      </c>
      <c r="P14" s="19">
        <v>1.5</v>
      </c>
      <c r="R14" s="49"/>
      <c r="S14" s="49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N14" s="38"/>
      <c r="AO14" s="39" t="s">
        <v>44</v>
      </c>
      <c r="AP14" s="40"/>
      <c r="AQ14" s="40"/>
      <c r="AR14" s="38"/>
      <c r="BC14" s="14"/>
    </row>
    <row r="15" spans="1:55" ht="20.100000000000001" customHeight="1" x14ac:dyDescent="0.25">
      <c r="A15" s="18"/>
      <c r="B15" s="55" t="s">
        <v>83</v>
      </c>
      <c r="C15" s="27">
        <v>672.49120000000005</v>
      </c>
      <c r="D15" s="19">
        <v>0</v>
      </c>
      <c r="E15" s="19">
        <v>0</v>
      </c>
      <c r="F15" s="43" t="s">
        <v>11</v>
      </c>
      <c r="G15" s="23">
        <v>1634.628285</v>
      </c>
      <c r="H15" s="19">
        <v>4.5</v>
      </c>
      <c r="I15" s="45">
        <v>53.644800000000004</v>
      </c>
      <c r="J15" s="27">
        <v>30.471327789459554</v>
      </c>
      <c r="K15" s="47">
        <v>90</v>
      </c>
      <c r="L15" s="19">
        <v>270</v>
      </c>
      <c r="M15" s="19" t="s">
        <v>16</v>
      </c>
      <c r="N15" s="19" t="s">
        <v>16</v>
      </c>
      <c r="O15" s="19">
        <v>0.4</v>
      </c>
      <c r="P15" s="19">
        <v>1.5</v>
      </c>
      <c r="R15" s="49"/>
      <c r="S15" s="49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N15" s="38"/>
      <c r="AO15" s="38"/>
      <c r="AP15" s="38"/>
      <c r="AQ15" s="38"/>
      <c r="AR15" s="38"/>
      <c r="BC15" s="14"/>
    </row>
    <row r="16" spans="1:55" ht="20.100000000000001" customHeight="1" x14ac:dyDescent="0.25">
      <c r="A16" s="18"/>
      <c r="B16" s="55" t="s">
        <v>84</v>
      </c>
      <c r="C16" s="27">
        <v>776.13600000000008</v>
      </c>
      <c r="D16" s="19">
        <v>0</v>
      </c>
      <c r="E16" s="19">
        <v>0</v>
      </c>
      <c r="F16" s="43" t="s">
        <v>11</v>
      </c>
      <c r="G16" s="23">
        <v>1889.6470199999999</v>
      </c>
      <c r="H16" s="19">
        <v>4.5</v>
      </c>
      <c r="I16" s="45">
        <v>39.624000000000002</v>
      </c>
      <c r="J16" s="27">
        <v>47.689456390066617</v>
      </c>
      <c r="K16" s="47">
        <v>0</v>
      </c>
      <c r="L16" s="19">
        <v>90</v>
      </c>
      <c r="M16" s="19" t="s">
        <v>16</v>
      </c>
      <c r="N16" s="19" t="s">
        <v>16</v>
      </c>
      <c r="O16" s="19">
        <v>0.4</v>
      </c>
      <c r="P16" s="19">
        <v>1.5</v>
      </c>
      <c r="R16" s="49"/>
      <c r="S16" s="49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N16" s="38"/>
      <c r="AO16" s="38"/>
      <c r="AP16" s="38"/>
      <c r="AQ16" s="38"/>
      <c r="AR16" s="38"/>
      <c r="BC16" s="14"/>
    </row>
    <row r="17" spans="1:55" ht="20.100000000000001" customHeight="1" x14ac:dyDescent="0.25">
      <c r="A17" s="18"/>
      <c r="B17" s="55" t="s">
        <v>85</v>
      </c>
      <c r="C17" s="27">
        <v>865.7600000000001</v>
      </c>
      <c r="D17" s="19">
        <v>0</v>
      </c>
      <c r="E17" s="19">
        <v>0</v>
      </c>
      <c r="F17" s="43" t="s">
        <v>11</v>
      </c>
      <c r="G17" s="23">
        <v>1745.275758</v>
      </c>
      <c r="H17" s="19">
        <v>4.5</v>
      </c>
      <c r="I17" s="45">
        <v>104.85120000000001</v>
      </c>
      <c r="J17" s="27">
        <v>16.645262600714155</v>
      </c>
      <c r="K17" s="47">
        <v>0</v>
      </c>
      <c r="L17" s="19">
        <v>90</v>
      </c>
      <c r="M17" s="19" t="s">
        <v>16</v>
      </c>
      <c r="N17" s="19" t="s">
        <v>16</v>
      </c>
      <c r="O17" s="19">
        <v>0.4</v>
      </c>
      <c r="P17" s="19">
        <v>1.5</v>
      </c>
      <c r="R17" s="49"/>
      <c r="S17" s="49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N17" s="38"/>
      <c r="AO17" s="38"/>
      <c r="AP17" s="38"/>
      <c r="AQ17" s="38"/>
      <c r="AR17" s="38"/>
      <c r="BC17" s="14"/>
    </row>
    <row r="18" spans="1:55" ht="20.100000000000001" customHeight="1" x14ac:dyDescent="0.25">
      <c r="A18" s="18"/>
      <c r="B18" s="55" t="s">
        <v>86</v>
      </c>
      <c r="C18" s="27">
        <v>1020.6112000000001</v>
      </c>
      <c r="D18" s="19">
        <v>0</v>
      </c>
      <c r="E18" s="19">
        <v>0</v>
      </c>
      <c r="F18" s="19" t="s">
        <v>16</v>
      </c>
      <c r="G18" s="23">
        <v>775.92585599999995</v>
      </c>
      <c r="H18" s="19">
        <v>4.5</v>
      </c>
      <c r="I18" s="45">
        <v>30.48</v>
      </c>
      <c r="J18" s="27">
        <v>25.456885039370079</v>
      </c>
      <c r="K18" s="47"/>
      <c r="L18" s="19"/>
      <c r="M18" s="19" t="s">
        <v>16</v>
      </c>
      <c r="N18" s="19" t="s">
        <v>16</v>
      </c>
      <c r="O18" s="19">
        <v>0.4</v>
      </c>
      <c r="P18" s="19">
        <v>1.5</v>
      </c>
      <c r="R18" s="49"/>
      <c r="S18" s="49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N18" s="38"/>
      <c r="AO18" s="38"/>
      <c r="AP18" s="38"/>
      <c r="AQ18" s="38"/>
      <c r="AR18" s="38"/>
      <c r="BC18" s="14"/>
    </row>
    <row r="19" spans="1:55" ht="20.100000000000001" customHeight="1" x14ac:dyDescent="0.25">
      <c r="A19" s="18"/>
      <c r="B19" s="55" t="s">
        <v>87</v>
      </c>
      <c r="C19" s="27">
        <v>1101.0912000000001</v>
      </c>
      <c r="D19" s="19">
        <v>0</v>
      </c>
      <c r="E19" s="19">
        <v>0</v>
      </c>
      <c r="F19" s="43" t="s">
        <v>11</v>
      </c>
      <c r="G19" s="23">
        <v>573.49021900000002</v>
      </c>
      <c r="H19" s="19">
        <v>4.5</v>
      </c>
      <c r="I19" s="45">
        <v>31.394400000000001</v>
      </c>
      <c r="J19" s="27">
        <v>18.267277571796246</v>
      </c>
      <c r="K19" s="47">
        <v>180</v>
      </c>
      <c r="L19" s="19">
        <v>270</v>
      </c>
      <c r="M19" s="19" t="s">
        <v>16</v>
      </c>
      <c r="N19" s="19" t="s">
        <v>16</v>
      </c>
      <c r="O19" s="19">
        <v>0.4</v>
      </c>
      <c r="P19" s="19">
        <v>1.5</v>
      </c>
      <c r="R19" s="49"/>
      <c r="S19" s="49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N19" s="38"/>
      <c r="AO19" s="38"/>
      <c r="AP19" s="38"/>
      <c r="AQ19" s="38"/>
      <c r="AR19" s="38"/>
      <c r="BC19" s="14"/>
    </row>
    <row r="20" spans="1:55" ht="20.100000000000001" customHeight="1" x14ac:dyDescent="0.25">
      <c r="A20" s="18"/>
      <c r="B20" s="55" t="s">
        <v>88</v>
      </c>
      <c r="C20" s="27">
        <v>1182.4856</v>
      </c>
      <c r="D20" s="19">
        <v>0</v>
      </c>
      <c r="E20" s="19">
        <v>0</v>
      </c>
      <c r="F20" s="19" t="s">
        <v>16</v>
      </c>
      <c r="G20" s="23">
        <v>899.02233100000001</v>
      </c>
      <c r="H20" s="19">
        <v>4.5</v>
      </c>
      <c r="I20" s="45">
        <v>30.48</v>
      </c>
      <c r="J20" s="27">
        <v>29.495483300524935</v>
      </c>
      <c r="K20" s="47">
        <v>180</v>
      </c>
      <c r="L20" s="19"/>
      <c r="M20" s="19" t="s">
        <v>16</v>
      </c>
      <c r="N20" s="19" t="s">
        <v>16</v>
      </c>
      <c r="O20" s="19">
        <v>0.4</v>
      </c>
      <c r="P20" s="19">
        <v>1.5</v>
      </c>
      <c r="R20" s="49"/>
      <c r="S20" s="49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N20" s="38"/>
      <c r="AO20" s="38"/>
      <c r="AP20" s="38"/>
      <c r="AQ20" s="38"/>
      <c r="AR20" s="38"/>
      <c r="BC20" s="14"/>
    </row>
    <row r="21" spans="1:55" ht="20.100000000000001" customHeight="1" x14ac:dyDescent="0.25">
      <c r="A21" s="18"/>
      <c r="B21" s="55" t="s">
        <v>89</v>
      </c>
      <c r="C21" s="27">
        <v>1262.9656</v>
      </c>
      <c r="D21" s="19">
        <v>0</v>
      </c>
      <c r="E21" s="19">
        <v>0</v>
      </c>
      <c r="F21" s="19" t="s">
        <v>16</v>
      </c>
      <c r="G21" s="23">
        <v>1072.843844</v>
      </c>
      <c r="H21" s="19">
        <v>4.5</v>
      </c>
      <c r="I21" s="45">
        <v>30.48</v>
      </c>
      <c r="J21" s="27">
        <v>35.198288845144354</v>
      </c>
      <c r="K21" s="47"/>
      <c r="L21" s="19"/>
      <c r="M21" s="19" t="s">
        <v>16</v>
      </c>
      <c r="N21" s="19" t="s">
        <v>16</v>
      </c>
      <c r="O21" s="19">
        <v>0.4</v>
      </c>
      <c r="P21" s="19">
        <v>1.5</v>
      </c>
    </row>
    <row r="22" spans="1:55" ht="20.100000000000001" customHeight="1" x14ac:dyDescent="0.25">
      <c r="A22" s="18"/>
      <c r="B22" s="55" t="s">
        <v>90</v>
      </c>
      <c r="C22" s="27">
        <v>1343.4456</v>
      </c>
      <c r="D22" s="19">
        <v>0</v>
      </c>
      <c r="E22" s="19">
        <v>0</v>
      </c>
      <c r="F22" s="43" t="s">
        <v>11</v>
      </c>
      <c r="G22" s="23">
        <v>195.09629999999999</v>
      </c>
      <c r="H22" s="19">
        <v>4.5</v>
      </c>
      <c r="I22" s="45">
        <v>7.0104000000000006</v>
      </c>
      <c r="J22" s="27">
        <v>27.829553235193423</v>
      </c>
      <c r="K22" s="47">
        <v>270</v>
      </c>
      <c r="L22" s="19"/>
      <c r="M22" s="19" t="s">
        <v>16</v>
      </c>
      <c r="N22" s="19" t="s">
        <v>16</v>
      </c>
      <c r="O22" s="19">
        <v>0.4</v>
      </c>
      <c r="P22" s="19">
        <v>1.5</v>
      </c>
    </row>
    <row r="23" spans="1:55" ht="20.100000000000001" customHeight="1" x14ac:dyDescent="0.25">
      <c r="A23" s="18"/>
      <c r="B23" s="55" t="s">
        <v>91</v>
      </c>
      <c r="C23" s="27">
        <v>1400.4559999999999</v>
      </c>
      <c r="D23" s="19">
        <v>0</v>
      </c>
      <c r="E23" s="19">
        <v>0</v>
      </c>
      <c r="F23" s="43" t="s">
        <v>11</v>
      </c>
      <c r="G23" s="23">
        <v>195.09629999999999</v>
      </c>
      <c r="H23" s="19">
        <v>4.5</v>
      </c>
      <c r="I23" s="45">
        <v>7.0104000000000006</v>
      </c>
      <c r="J23" s="27">
        <v>27.829553235193423</v>
      </c>
      <c r="K23" s="47">
        <v>90</v>
      </c>
      <c r="L23" s="19"/>
      <c r="M23" s="19" t="s">
        <v>16</v>
      </c>
      <c r="N23" s="19" t="s">
        <v>16</v>
      </c>
      <c r="O23" s="19">
        <v>0.4</v>
      </c>
      <c r="P23" s="19">
        <v>1.5</v>
      </c>
    </row>
    <row r="24" spans="1:55" ht="20.100000000000001" customHeight="1" x14ac:dyDescent="0.25">
      <c r="A24" s="18"/>
      <c r="B24" s="55" t="s">
        <v>92</v>
      </c>
      <c r="C24" s="27">
        <v>1457.4663999999998</v>
      </c>
      <c r="D24" s="19">
        <v>0</v>
      </c>
      <c r="E24" s="19">
        <v>0</v>
      </c>
      <c r="F24" s="43" t="s">
        <v>11</v>
      </c>
      <c r="G24" s="23">
        <v>278.709</v>
      </c>
      <c r="H24" s="19">
        <v>4.5</v>
      </c>
      <c r="I24" s="45">
        <v>47.5488</v>
      </c>
      <c r="J24" s="27">
        <v>5.8615359378154652</v>
      </c>
      <c r="K24" s="47">
        <v>180</v>
      </c>
      <c r="L24" s="19"/>
      <c r="M24" s="19" t="s">
        <v>16</v>
      </c>
      <c r="N24" s="19" t="s">
        <v>16</v>
      </c>
      <c r="O24" s="19">
        <v>0.4</v>
      </c>
      <c r="P24" s="19">
        <v>1.5</v>
      </c>
    </row>
    <row r="25" spans="1:55" ht="20.100000000000001" customHeight="1" x14ac:dyDescent="0.25">
      <c r="A25" s="18"/>
      <c r="B25" s="55" t="s">
        <v>93</v>
      </c>
      <c r="C25" s="27">
        <v>1555.0151999999998</v>
      </c>
      <c r="D25" s="19">
        <v>0</v>
      </c>
      <c r="E25" s="19">
        <v>0</v>
      </c>
      <c r="F25" s="19" t="s">
        <v>16</v>
      </c>
      <c r="G25" s="23">
        <v>1654.323721</v>
      </c>
      <c r="H25" s="19">
        <v>4.5</v>
      </c>
      <c r="I25" s="45">
        <v>30.48</v>
      </c>
      <c r="J25" s="27">
        <v>54.275712631233596</v>
      </c>
      <c r="K25" s="47"/>
      <c r="L25" s="19"/>
      <c r="M25" s="19" t="s">
        <v>16</v>
      </c>
      <c r="N25" s="19" t="s">
        <v>16</v>
      </c>
      <c r="O25" s="19">
        <v>0.4</v>
      </c>
      <c r="P25" s="19">
        <v>1.5</v>
      </c>
    </row>
    <row r="26" spans="1:55" ht="20.100000000000001" customHeight="1" x14ac:dyDescent="0.25">
      <c r="A26" s="18"/>
      <c r="B26" s="55" t="s">
        <v>94</v>
      </c>
      <c r="C26" s="27">
        <v>1635.4951999999998</v>
      </c>
      <c r="D26" s="19">
        <v>0</v>
      </c>
      <c r="E26" s="19">
        <v>0</v>
      </c>
      <c r="F26" s="43" t="s">
        <v>11</v>
      </c>
      <c r="G26" s="23">
        <v>2744.2617169999999</v>
      </c>
      <c r="H26" s="19">
        <v>4.5</v>
      </c>
      <c r="I26" s="45">
        <v>103.93680000000001</v>
      </c>
      <c r="J26" s="27">
        <v>26.403176901732589</v>
      </c>
      <c r="K26" s="47">
        <v>0</v>
      </c>
      <c r="L26" s="19">
        <v>270</v>
      </c>
      <c r="M26" s="19" t="s">
        <v>16</v>
      </c>
      <c r="N26" s="19" t="s">
        <v>16</v>
      </c>
      <c r="O26" s="19">
        <v>0.4</v>
      </c>
      <c r="P26" s="19">
        <v>1.5</v>
      </c>
    </row>
    <row r="27" spans="1:55" ht="20.100000000000001" customHeight="1" x14ac:dyDescent="0.25">
      <c r="A27" s="18"/>
      <c r="B27" s="55" t="s">
        <v>95</v>
      </c>
      <c r="C27" s="27">
        <v>1789.4319999999998</v>
      </c>
      <c r="D27" s="19">
        <v>0</v>
      </c>
      <c r="E27" s="19">
        <v>0</v>
      </c>
      <c r="F27" s="43" t="s">
        <v>11</v>
      </c>
      <c r="G27" s="23">
        <v>624.77267500000005</v>
      </c>
      <c r="H27" s="19">
        <v>4.5</v>
      </c>
      <c r="I27" s="45">
        <v>46.329599999999999</v>
      </c>
      <c r="J27" s="27">
        <v>13.485388930618871</v>
      </c>
      <c r="K27" s="47">
        <v>180</v>
      </c>
      <c r="L27" s="19">
        <v>270</v>
      </c>
      <c r="M27" s="19" t="s">
        <v>16</v>
      </c>
      <c r="N27" s="19" t="s">
        <v>16</v>
      </c>
      <c r="O27" s="19">
        <v>0.4</v>
      </c>
      <c r="P27" s="19">
        <v>1.5</v>
      </c>
    </row>
    <row r="28" spans="1:55" ht="20.100000000000001" customHeight="1" x14ac:dyDescent="0.25">
      <c r="A28" s="18"/>
      <c r="B28" s="55" t="s">
        <v>96</v>
      </c>
      <c r="C28" s="27">
        <v>1885.7615999999998</v>
      </c>
      <c r="D28" s="19">
        <v>0</v>
      </c>
      <c r="E28" s="19">
        <v>0</v>
      </c>
      <c r="F28" s="43" t="s">
        <v>11</v>
      </c>
      <c r="G28" s="23">
        <v>895.77072599999997</v>
      </c>
      <c r="H28" s="19">
        <v>4.5</v>
      </c>
      <c r="I28" s="45">
        <v>44.500800000000005</v>
      </c>
      <c r="J28" s="27">
        <v>20.129317360586771</v>
      </c>
      <c r="K28" s="47">
        <v>180</v>
      </c>
      <c r="L28" s="19">
        <v>90</v>
      </c>
      <c r="M28" s="19" t="s">
        <v>16</v>
      </c>
      <c r="N28" s="19" t="s">
        <v>16</v>
      </c>
      <c r="O28" s="19">
        <v>0.4</v>
      </c>
      <c r="P28" s="19">
        <v>1.5</v>
      </c>
    </row>
    <row r="29" spans="1:55" ht="20.100000000000001" customHeight="1" x14ac:dyDescent="0.25">
      <c r="A29" s="18"/>
      <c r="B29" s="55" t="s">
        <v>97</v>
      </c>
      <c r="C29" s="27">
        <v>1980.2623999999998</v>
      </c>
      <c r="D29" s="19">
        <v>0</v>
      </c>
      <c r="E29" s="19">
        <v>0</v>
      </c>
      <c r="F29" s="19" t="s">
        <v>16</v>
      </c>
      <c r="G29" s="23">
        <v>857.68049599999995</v>
      </c>
      <c r="H29" s="19">
        <v>4.5</v>
      </c>
      <c r="I29" s="45">
        <v>30.48</v>
      </c>
      <c r="J29" s="27">
        <v>28.139123884514433</v>
      </c>
      <c r="K29" s="47"/>
      <c r="L29" s="19"/>
      <c r="M29" s="19" t="s">
        <v>16</v>
      </c>
      <c r="N29" s="19" t="s">
        <v>16</v>
      </c>
      <c r="O29" s="19">
        <v>0.4</v>
      </c>
      <c r="P29" s="19">
        <v>1.5</v>
      </c>
    </row>
    <row r="30" spans="1:55" ht="20.100000000000001" customHeight="1" x14ac:dyDescent="0.25">
      <c r="A30" s="18"/>
      <c r="B30" s="55" t="s">
        <v>98</v>
      </c>
      <c r="C30" s="27">
        <v>2060.7424000000001</v>
      </c>
      <c r="D30" s="19">
        <v>0</v>
      </c>
      <c r="E30" s="19">
        <v>0</v>
      </c>
      <c r="F30" s="43" t="s">
        <v>11</v>
      </c>
      <c r="G30" s="23">
        <v>2758.6616819999999</v>
      </c>
      <c r="H30" s="19">
        <v>4.5</v>
      </c>
      <c r="I30" s="45">
        <v>104.85120000000001</v>
      </c>
      <c r="J30" s="27">
        <v>26.310253788225598</v>
      </c>
      <c r="K30" s="47">
        <v>0</v>
      </c>
      <c r="L30" s="19">
        <v>270</v>
      </c>
      <c r="M30" s="19" t="s">
        <v>16</v>
      </c>
      <c r="N30" s="19" t="s">
        <v>16</v>
      </c>
      <c r="O30" s="19">
        <v>0.4</v>
      </c>
      <c r="P30" s="19">
        <v>1.5</v>
      </c>
    </row>
    <row r="31" spans="1:55" ht="20.100000000000001" customHeight="1" x14ac:dyDescent="0.25">
      <c r="A31" s="18"/>
      <c r="B31" s="55" t="s">
        <v>99</v>
      </c>
      <c r="C31" s="27">
        <v>2215.5936000000002</v>
      </c>
      <c r="D31" s="19">
        <v>0</v>
      </c>
      <c r="E31" s="19">
        <v>0</v>
      </c>
      <c r="F31" s="43" t="s">
        <v>11</v>
      </c>
      <c r="G31" s="23">
        <v>929.03</v>
      </c>
      <c r="H31" s="19">
        <v>4.5</v>
      </c>
      <c r="I31" s="45">
        <v>47.8536</v>
      </c>
      <c r="J31" s="27">
        <v>19.414004380025744</v>
      </c>
      <c r="K31" s="47">
        <v>180</v>
      </c>
      <c r="L31" s="19">
        <v>90</v>
      </c>
      <c r="M31" s="19" t="s">
        <v>16</v>
      </c>
      <c r="N31" s="19" t="s">
        <v>16</v>
      </c>
      <c r="O31" s="19">
        <v>0.4</v>
      </c>
      <c r="P31" s="19">
        <v>1.5</v>
      </c>
    </row>
    <row r="32" spans="1:55" ht="20.100000000000001" customHeight="1" x14ac:dyDescent="0.25">
      <c r="A32" s="18"/>
      <c r="B32" s="55" t="s">
        <v>100</v>
      </c>
      <c r="C32" s="27">
        <v>2313.4472000000001</v>
      </c>
      <c r="D32" s="19">
        <v>0</v>
      </c>
      <c r="E32" s="19">
        <v>0</v>
      </c>
      <c r="F32" s="19" t="s">
        <v>16</v>
      </c>
      <c r="G32" s="23">
        <v>940.36416599999995</v>
      </c>
      <c r="H32" s="19">
        <v>4.5</v>
      </c>
      <c r="I32" s="45">
        <v>47.244</v>
      </c>
      <c r="J32" s="27">
        <v>19.90441465582931</v>
      </c>
      <c r="K32" s="47">
        <v>180</v>
      </c>
      <c r="L32" s="19">
        <v>270</v>
      </c>
      <c r="M32" s="19" t="s">
        <v>16</v>
      </c>
      <c r="N32" s="19" t="s">
        <v>16</v>
      </c>
      <c r="O32" s="19">
        <v>0.4</v>
      </c>
      <c r="P32" s="19">
        <v>1.5</v>
      </c>
    </row>
    <row r="33" spans="1:16" ht="20.100000000000001" customHeight="1" x14ac:dyDescent="0.25">
      <c r="A33" s="18"/>
      <c r="B33" s="55" t="s">
        <v>101</v>
      </c>
      <c r="C33" s="27">
        <v>2410.6912000000002</v>
      </c>
      <c r="D33" s="19">
        <v>0</v>
      </c>
      <c r="E33" s="19">
        <v>0</v>
      </c>
      <c r="F33" s="19" t="s">
        <v>16</v>
      </c>
      <c r="G33" s="23">
        <v>531.77677200000005</v>
      </c>
      <c r="H33" s="19">
        <v>4.5</v>
      </c>
      <c r="I33" s="45">
        <v>30.48</v>
      </c>
      <c r="J33" s="27">
        <v>17.446744488188976</v>
      </c>
      <c r="K33" s="47"/>
      <c r="L33" s="19"/>
      <c r="M33" s="19" t="s">
        <v>16</v>
      </c>
      <c r="N33" s="19" t="s">
        <v>16</v>
      </c>
      <c r="O33" s="19">
        <v>0.4</v>
      </c>
      <c r="P33" s="19">
        <v>1.5</v>
      </c>
    </row>
    <row r="34" spans="1:16" ht="20.100000000000001" customHeight="1" x14ac:dyDescent="0.25">
      <c r="A34" s="18"/>
      <c r="B34" s="55" t="s">
        <v>102</v>
      </c>
      <c r="C34" s="27">
        <v>2491.1712000000002</v>
      </c>
      <c r="D34" s="19">
        <v>0</v>
      </c>
      <c r="E34" s="19">
        <v>0</v>
      </c>
      <c r="F34" s="43" t="s">
        <v>11</v>
      </c>
      <c r="G34" s="23">
        <v>520.2568</v>
      </c>
      <c r="H34" s="19">
        <v>4.5</v>
      </c>
      <c r="I34" s="45">
        <v>78.028800000000004</v>
      </c>
      <c r="J34" s="27">
        <v>6.6674971292650911</v>
      </c>
      <c r="K34" s="47">
        <v>0</v>
      </c>
      <c r="L34" s="19"/>
      <c r="M34" s="19" t="s">
        <v>16</v>
      </c>
      <c r="N34" s="19" t="s">
        <v>16</v>
      </c>
      <c r="O34" s="19">
        <v>0.4</v>
      </c>
      <c r="P34" s="19">
        <v>1.5</v>
      </c>
    </row>
    <row r="35" spans="1:16" ht="20.100000000000001" customHeight="1" x14ac:dyDescent="0.25">
      <c r="A35" s="18"/>
      <c r="B35" s="55" t="s">
        <v>103</v>
      </c>
      <c r="C35" s="27">
        <v>2619.2000000000003</v>
      </c>
      <c r="D35" s="19">
        <v>0</v>
      </c>
      <c r="E35" s="19">
        <v>0</v>
      </c>
      <c r="F35" s="43" t="s">
        <v>11</v>
      </c>
      <c r="G35" s="23">
        <v>260.1284</v>
      </c>
      <c r="H35" s="19">
        <v>4.5</v>
      </c>
      <c r="I35" s="45">
        <v>4.8768000000000002</v>
      </c>
      <c r="J35" s="27">
        <v>53.339977034120729</v>
      </c>
      <c r="K35" s="47">
        <v>90</v>
      </c>
      <c r="L35" s="19"/>
      <c r="M35" s="19" t="s">
        <v>16</v>
      </c>
      <c r="N35" s="19" t="s">
        <v>16</v>
      </c>
      <c r="O35" s="19">
        <v>0.4</v>
      </c>
      <c r="P35" s="19">
        <v>1.5</v>
      </c>
    </row>
    <row r="36" spans="1:16" ht="20.100000000000001" customHeight="1" x14ac:dyDescent="0.25">
      <c r="A36" s="18"/>
      <c r="B36" s="55" t="s">
        <v>104</v>
      </c>
      <c r="C36" s="27">
        <v>2674.0768000000003</v>
      </c>
      <c r="D36" s="19">
        <v>0</v>
      </c>
      <c r="E36" s="19">
        <v>0</v>
      </c>
      <c r="F36" s="43" t="s">
        <v>11</v>
      </c>
      <c r="G36" s="23">
        <v>520.2568</v>
      </c>
      <c r="H36" s="19">
        <v>4.5</v>
      </c>
      <c r="I36" s="45">
        <v>78.028800000000004</v>
      </c>
      <c r="J36" s="27">
        <v>6.6674971292650911</v>
      </c>
      <c r="K36" s="47">
        <v>180</v>
      </c>
      <c r="L36" s="19"/>
      <c r="M36" s="19" t="s">
        <v>16</v>
      </c>
      <c r="N36" s="19" t="s">
        <v>16</v>
      </c>
      <c r="O36" s="19">
        <v>0.4</v>
      </c>
      <c r="P36" s="19">
        <v>1.5</v>
      </c>
    </row>
    <row r="37" spans="1:16" ht="20.100000000000001" customHeight="1" x14ac:dyDescent="0.25">
      <c r="A37" s="18"/>
      <c r="B37" s="55" t="s">
        <v>105</v>
      </c>
      <c r="C37" s="27">
        <v>2802.1056000000003</v>
      </c>
      <c r="D37" s="19">
        <v>0</v>
      </c>
      <c r="E37" s="19">
        <v>0</v>
      </c>
      <c r="F37" s="43" t="s">
        <v>11</v>
      </c>
      <c r="G37" s="23">
        <v>260.1284</v>
      </c>
      <c r="H37" s="19">
        <v>4.5</v>
      </c>
      <c r="I37" s="45">
        <v>4.8768000000000002</v>
      </c>
      <c r="J37" s="27">
        <v>53.339977034120729</v>
      </c>
      <c r="K37" s="47">
        <v>270</v>
      </c>
      <c r="L37" s="19"/>
      <c r="M37" s="19" t="s">
        <v>16</v>
      </c>
      <c r="N37" s="19" t="s">
        <v>16</v>
      </c>
      <c r="O37" s="19">
        <v>0.4</v>
      </c>
      <c r="P37" s="19">
        <v>1.5</v>
      </c>
    </row>
    <row r="38" spans="1:16" ht="20.100000000000001" customHeight="1" x14ac:dyDescent="0.25">
      <c r="A38" s="18"/>
      <c r="B38" s="55" t="s">
        <v>106</v>
      </c>
      <c r="C38" s="27">
        <v>2856.9824000000003</v>
      </c>
      <c r="D38" s="19">
        <v>0</v>
      </c>
      <c r="E38" s="19">
        <v>0</v>
      </c>
      <c r="F38" s="19" t="s">
        <v>16</v>
      </c>
      <c r="G38" s="23">
        <v>1768.5015080000001</v>
      </c>
      <c r="H38" s="19">
        <v>4.5</v>
      </c>
      <c r="I38" s="45">
        <v>30.48</v>
      </c>
      <c r="J38" s="27">
        <v>58.021703018372705</v>
      </c>
      <c r="K38" s="47"/>
      <c r="L38" s="19"/>
      <c r="M38" s="19" t="s">
        <v>16</v>
      </c>
      <c r="N38" s="19" t="s">
        <v>16</v>
      </c>
      <c r="O38" s="19">
        <v>0.4</v>
      </c>
      <c r="P38" s="19">
        <v>1.5</v>
      </c>
    </row>
    <row r="39" spans="1:16" ht="20.100000000000001" customHeight="1" x14ac:dyDescent="0.25">
      <c r="A39" s="18"/>
      <c r="B39" s="55" t="s">
        <v>107</v>
      </c>
      <c r="C39" s="27">
        <v>2937.4624000000003</v>
      </c>
      <c r="D39" s="19">
        <v>0</v>
      </c>
      <c r="E39" s="19">
        <v>0</v>
      </c>
      <c r="F39" s="19" t="s">
        <v>16</v>
      </c>
      <c r="G39" s="23">
        <v>1151.5326849999999</v>
      </c>
      <c r="H39" s="19">
        <v>4.5</v>
      </c>
      <c r="I39" s="45">
        <v>30.48</v>
      </c>
      <c r="J39" s="27">
        <v>37.779943733595793</v>
      </c>
      <c r="K39" s="47"/>
      <c r="L39" s="19"/>
      <c r="M39" s="19" t="s">
        <v>16</v>
      </c>
      <c r="N39" s="19" t="s">
        <v>16</v>
      </c>
      <c r="O39" s="19">
        <v>0.4</v>
      </c>
      <c r="P39" s="19">
        <v>1.5</v>
      </c>
    </row>
    <row r="40" spans="1:16" ht="20.100000000000001" customHeight="1" x14ac:dyDescent="0.25">
      <c r="A40" s="18"/>
      <c r="B40" s="55" t="s">
        <v>108</v>
      </c>
      <c r="C40" s="27">
        <v>3017.9424000000004</v>
      </c>
      <c r="D40" s="19">
        <v>0</v>
      </c>
      <c r="E40" s="19">
        <v>0</v>
      </c>
      <c r="F40" s="43" t="s">
        <v>11</v>
      </c>
      <c r="G40" s="23">
        <v>520.2568</v>
      </c>
      <c r="H40" s="19">
        <v>4.5</v>
      </c>
      <c r="I40" s="45">
        <v>78.028800000000004</v>
      </c>
      <c r="J40" s="27">
        <v>21.875</v>
      </c>
      <c r="K40" s="47">
        <v>0</v>
      </c>
      <c r="L40" s="19"/>
      <c r="M40" s="19" t="s">
        <v>16</v>
      </c>
      <c r="N40" s="19" t="s">
        <v>16</v>
      </c>
      <c r="O40" s="19">
        <v>0.4</v>
      </c>
      <c r="P40" s="19">
        <v>1.5</v>
      </c>
    </row>
    <row r="41" spans="1:16" ht="20.100000000000001" customHeight="1" x14ac:dyDescent="0.25">
      <c r="A41" s="18"/>
      <c r="B41" s="55" t="s">
        <v>109</v>
      </c>
      <c r="C41" s="27">
        <v>3145.9712000000004</v>
      </c>
      <c r="D41" s="19">
        <v>0</v>
      </c>
      <c r="E41" s="19">
        <v>0</v>
      </c>
      <c r="F41" s="43" t="s">
        <v>11</v>
      </c>
      <c r="G41" s="23">
        <v>260.1284</v>
      </c>
      <c r="H41" s="19">
        <v>4.5</v>
      </c>
      <c r="I41" s="45">
        <v>4.8768000000000002</v>
      </c>
      <c r="J41" s="27">
        <v>175</v>
      </c>
      <c r="K41" s="47">
        <v>90</v>
      </c>
      <c r="L41" s="19"/>
      <c r="M41" s="19" t="s">
        <v>16</v>
      </c>
      <c r="N41" s="19" t="s">
        <v>16</v>
      </c>
      <c r="O41" s="19">
        <v>0.4</v>
      </c>
      <c r="P41" s="19">
        <v>1.5</v>
      </c>
    </row>
    <row r="42" spans="1:16" ht="20.100000000000001" customHeight="1" x14ac:dyDescent="0.25">
      <c r="A42" s="18"/>
      <c r="B42" s="55" t="s">
        <v>110</v>
      </c>
      <c r="C42" s="27">
        <v>3200.8480000000004</v>
      </c>
      <c r="D42" s="19">
        <v>0</v>
      </c>
      <c r="E42" s="19">
        <v>0</v>
      </c>
      <c r="F42" s="43" t="s">
        <v>11</v>
      </c>
      <c r="G42" s="23">
        <v>520.2568</v>
      </c>
      <c r="H42" s="19">
        <v>4.5</v>
      </c>
      <c r="I42" s="45">
        <v>78.028800000000004</v>
      </c>
      <c r="J42" s="27">
        <v>21.875</v>
      </c>
      <c r="K42" s="47">
        <v>180</v>
      </c>
      <c r="L42" s="19"/>
      <c r="M42" s="19" t="s">
        <v>16</v>
      </c>
      <c r="N42" s="19" t="s">
        <v>16</v>
      </c>
      <c r="O42" s="19">
        <v>0.4</v>
      </c>
      <c r="P42" s="19">
        <v>1.5</v>
      </c>
    </row>
    <row r="43" spans="1:16" ht="20.100000000000001" customHeight="1" x14ac:dyDescent="0.25">
      <c r="A43" s="18"/>
      <c r="B43" s="55" t="s">
        <v>111</v>
      </c>
      <c r="C43" s="27">
        <v>3328.8768000000005</v>
      </c>
      <c r="D43" s="19">
        <v>0</v>
      </c>
      <c r="E43" s="19">
        <v>0</v>
      </c>
      <c r="F43" s="43" t="s">
        <v>11</v>
      </c>
      <c r="G43" s="23">
        <v>260.1284</v>
      </c>
      <c r="H43" s="19">
        <v>4.5</v>
      </c>
      <c r="I43" s="45">
        <v>4.8768000000000002</v>
      </c>
      <c r="J43" s="27">
        <v>175</v>
      </c>
      <c r="K43" s="47">
        <v>270</v>
      </c>
      <c r="L43" s="19"/>
      <c r="M43" s="19" t="s">
        <v>16</v>
      </c>
      <c r="N43" s="19" t="s">
        <v>16</v>
      </c>
      <c r="O43" s="19">
        <v>0.4</v>
      </c>
      <c r="P43" s="19">
        <v>1.5</v>
      </c>
    </row>
    <row r="44" spans="1:16" ht="20.100000000000001" customHeight="1" x14ac:dyDescent="0.25">
      <c r="A44" s="18"/>
      <c r="B44" s="55" t="s">
        <v>112</v>
      </c>
      <c r="C44" s="27">
        <v>3383.7536000000005</v>
      </c>
      <c r="D44" s="19">
        <v>0</v>
      </c>
      <c r="E44" s="19">
        <v>0</v>
      </c>
      <c r="F44" s="19" t="s">
        <v>16</v>
      </c>
      <c r="G44" s="23">
        <v>1768.5015080000001</v>
      </c>
      <c r="H44" s="19">
        <v>4.5</v>
      </c>
      <c r="I44" s="45">
        <v>30.48</v>
      </c>
      <c r="J44" s="27">
        <v>190.36</v>
      </c>
      <c r="K44" s="47"/>
      <c r="L44" s="19"/>
      <c r="M44" s="19" t="s">
        <v>16</v>
      </c>
      <c r="N44" s="19" t="s">
        <v>16</v>
      </c>
      <c r="O44" s="19">
        <v>0.4</v>
      </c>
      <c r="P44" s="19">
        <v>1.5</v>
      </c>
    </row>
    <row r="45" spans="1:16" ht="20.100000000000001" customHeight="1" x14ac:dyDescent="0.25">
      <c r="A45" s="18"/>
      <c r="B45" s="55" t="s">
        <v>113</v>
      </c>
      <c r="C45" s="27">
        <v>3464.2336000000005</v>
      </c>
      <c r="D45" s="19">
        <v>0</v>
      </c>
      <c r="E45" s="19">
        <v>0</v>
      </c>
      <c r="F45" s="19" t="s">
        <v>16</v>
      </c>
      <c r="G45" s="23">
        <v>1151.5326849999999</v>
      </c>
      <c r="H45" s="19">
        <v>4.5</v>
      </c>
      <c r="I45" s="45">
        <v>30.48</v>
      </c>
      <c r="J45" s="27">
        <v>123.95</v>
      </c>
      <c r="K45" s="47"/>
      <c r="L45" s="19"/>
      <c r="M45" s="19" t="s">
        <v>16</v>
      </c>
      <c r="N45" s="19" t="s">
        <v>16</v>
      </c>
      <c r="O45" s="19">
        <v>0.4</v>
      </c>
      <c r="P45" s="19">
        <v>1.5</v>
      </c>
    </row>
    <row r="46" spans="1:16" ht="20.100000000000001" customHeight="1" x14ac:dyDescent="0.25">
      <c r="A46" s="18"/>
      <c r="B46" s="55" t="s">
        <v>114</v>
      </c>
      <c r="C46" s="27">
        <v>3544.7136000000005</v>
      </c>
      <c r="D46" s="19">
        <v>0</v>
      </c>
      <c r="E46" s="19">
        <v>0</v>
      </c>
      <c r="F46" s="43" t="s">
        <v>11</v>
      </c>
      <c r="G46" s="23">
        <v>520.2568</v>
      </c>
      <c r="H46" s="19">
        <v>4.5</v>
      </c>
      <c r="I46" s="45">
        <v>78.028800000000004</v>
      </c>
      <c r="J46" s="27">
        <v>21.875</v>
      </c>
      <c r="K46" s="47">
        <v>0</v>
      </c>
      <c r="L46" s="19"/>
      <c r="M46" s="19" t="s">
        <v>16</v>
      </c>
      <c r="N46" s="19" t="s">
        <v>16</v>
      </c>
      <c r="O46" s="19">
        <v>0.4</v>
      </c>
      <c r="P46" s="19">
        <v>1.5</v>
      </c>
    </row>
    <row r="47" spans="1:16" ht="20.100000000000001" customHeight="1" x14ac:dyDescent="0.25">
      <c r="A47" s="18"/>
      <c r="B47" s="55" t="s">
        <v>115</v>
      </c>
      <c r="C47" s="27">
        <v>3672.7424000000005</v>
      </c>
      <c r="D47" s="19">
        <v>0</v>
      </c>
      <c r="E47" s="19">
        <v>0</v>
      </c>
      <c r="F47" s="43" t="s">
        <v>11</v>
      </c>
      <c r="G47" s="23">
        <v>260.1284</v>
      </c>
      <c r="H47" s="19">
        <v>4.5</v>
      </c>
      <c r="I47" s="45">
        <v>4.8768000000000002</v>
      </c>
      <c r="J47" s="27">
        <v>175</v>
      </c>
      <c r="K47" s="47">
        <v>90</v>
      </c>
      <c r="L47" s="19"/>
      <c r="M47" s="19" t="s">
        <v>16</v>
      </c>
      <c r="N47" s="19" t="s">
        <v>16</v>
      </c>
      <c r="O47" s="19">
        <v>0.4</v>
      </c>
      <c r="P47" s="19">
        <v>1.5</v>
      </c>
    </row>
    <row r="48" spans="1:16" ht="20.100000000000001" customHeight="1" x14ac:dyDescent="0.25">
      <c r="A48" s="18"/>
      <c r="B48" s="55" t="s">
        <v>116</v>
      </c>
      <c r="C48" s="27">
        <v>3727.6192000000005</v>
      </c>
      <c r="D48" s="19">
        <v>0</v>
      </c>
      <c r="E48" s="19">
        <v>0</v>
      </c>
      <c r="F48" s="43" t="s">
        <v>11</v>
      </c>
      <c r="G48" s="23">
        <v>520.2568</v>
      </c>
      <c r="H48" s="19">
        <v>4.5</v>
      </c>
      <c r="I48" s="45">
        <v>78.028800000000004</v>
      </c>
      <c r="J48" s="27">
        <v>21.875</v>
      </c>
      <c r="K48" s="47">
        <v>180</v>
      </c>
      <c r="L48" s="19"/>
      <c r="M48" s="19" t="s">
        <v>16</v>
      </c>
      <c r="N48" s="19" t="s">
        <v>16</v>
      </c>
      <c r="O48" s="19">
        <v>0.4</v>
      </c>
      <c r="P48" s="19">
        <v>1.5</v>
      </c>
    </row>
    <row r="49" spans="1:16" ht="20.100000000000001" customHeight="1" x14ac:dyDescent="0.25">
      <c r="A49" s="18"/>
      <c r="B49" s="55" t="s">
        <v>117</v>
      </c>
      <c r="C49" s="27">
        <v>3855.6480000000006</v>
      </c>
      <c r="D49" s="19">
        <v>0</v>
      </c>
      <c r="E49" s="19">
        <v>0</v>
      </c>
      <c r="F49" s="43" t="s">
        <v>11</v>
      </c>
      <c r="G49" s="23">
        <v>260.1284</v>
      </c>
      <c r="H49" s="19">
        <v>4.5</v>
      </c>
      <c r="I49" s="45">
        <v>4.8768000000000002</v>
      </c>
      <c r="J49" s="27">
        <v>175</v>
      </c>
      <c r="K49" s="47">
        <v>270</v>
      </c>
      <c r="L49" s="19"/>
      <c r="M49" s="19" t="s">
        <v>16</v>
      </c>
      <c r="N49" s="19" t="s">
        <v>16</v>
      </c>
      <c r="O49" s="19">
        <v>0.4</v>
      </c>
      <c r="P49" s="19">
        <v>1.5</v>
      </c>
    </row>
    <row r="50" spans="1:16" ht="20.100000000000001" customHeight="1" x14ac:dyDescent="0.25">
      <c r="A50" s="18"/>
      <c r="B50" s="55" t="s">
        <v>118</v>
      </c>
      <c r="C50" s="27">
        <v>3910.5248000000006</v>
      </c>
      <c r="D50" s="19">
        <v>0</v>
      </c>
      <c r="E50" s="19">
        <v>0</v>
      </c>
      <c r="F50" s="19" t="s">
        <v>16</v>
      </c>
      <c r="G50" s="23">
        <v>1768.5015080000001</v>
      </c>
      <c r="H50" s="19">
        <v>4.5</v>
      </c>
      <c r="I50" s="45">
        <v>30.48</v>
      </c>
      <c r="J50" s="27">
        <v>190.36</v>
      </c>
      <c r="K50" s="47"/>
      <c r="L50" s="19"/>
      <c r="M50" s="19" t="s">
        <v>16</v>
      </c>
      <c r="N50" s="19" t="s">
        <v>16</v>
      </c>
      <c r="O50" s="19">
        <v>0.4</v>
      </c>
      <c r="P50" s="19">
        <v>1.5</v>
      </c>
    </row>
    <row r="51" spans="1:16" ht="20.100000000000001" customHeight="1" x14ac:dyDescent="0.25">
      <c r="A51" s="18"/>
      <c r="B51" s="55" t="s">
        <v>119</v>
      </c>
      <c r="C51" s="27">
        <v>3991.0048000000006</v>
      </c>
      <c r="D51" s="19">
        <v>0</v>
      </c>
      <c r="E51" s="19">
        <v>0</v>
      </c>
      <c r="F51" s="19" t="s">
        <v>16</v>
      </c>
      <c r="G51" s="23">
        <v>1151.5326849999999</v>
      </c>
      <c r="H51" s="19">
        <v>4.5</v>
      </c>
      <c r="I51" s="45">
        <v>30.48</v>
      </c>
      <c r="J51" s="27">
        <v>123.95</v>
      </c>
      <c r="K51" s="47"/>
      <c r="L51" s="19"/>
      <c r="M51" s="19" t="s">
        <v>16</v>
      </c>
      <c r="N51" s="19" t="s">
        <v>16</v>
      </c>
      <c r="O51" s="19">
        <v>0.4</v>
      </c>
      <c r="P51" s="19">
        <v>1.5</v>
      </c>
    </row>
    <row r="52" spans="1:16" ht="20.100000000000001" customHeight="1" x14ac:dyDescent="0.25">
      <c r="A52" s="18"/>
      <c r="B52" s="55" t="s">
        <v>120</v>
      </c>
      <c r="C52" s="27">
        <v>4071.4848000000006</v>
      </c>
      <c r="D52" s="19">
        <v>0</v>
      </c>
      <c r="E52" s="19">
        <v>0</v>
      </c>
      <c r="F52" s="43" t="s">
        <v>11</v>
      </c>
      <c r="G52" s="23">
        <v>520.2568</v>
      </c>
      <c r="H52" s="19">
        <v>4.5</v>
      </c>
      <c r="I52" s="45">
        <v>78.028800000000004</v>
      </c>
      <c r="J52" s="27">
        <v>21.875</v>
      </c>
      <c r="K52" s="47">
        <v>0</v>
      </c>
      <c r="L52" s="19"/>
      <c r="M52" s="19" t="s">
        <v>16</v>
      </c>
      <c r="N52" s="19" t="s">
        <v>16</v>
      </c>
      <c r="O52" s="19">
        <v>0.4</v>
      </c>
      <c r="P52" s="19">
        <v>1.5</v>
      </c>
    </row>
    <row r="53" spans="1:16" ht="20.100000000000001" customHeight="1" x14ac:dyDescent="0.25">
      <c r="A53" s="18"/>
      <c r="B53" s="55" t="s">
        <v>121</v>
      </c>
      <c r="C53" s="27">
        <v>4199.5136000000002</v>
      </c>
      <c r="D53" s="19">
        <v>0</v>
      </c>
      <c r="E53" s="19">
        <v>0</v>
      </c>
      <c r="F53" s="43" t="s">
        <v>11</v>
      </c>
      <c r="G53" s="23">
        <v>260.1284</v>
      </c>
      <c r="H53" s="19">
        <v>4.5</v>
      </c>
      <c r="I53" s="45">
        <v>4.8768000000000002</v>
      </c>
      <c r="J53" s="27">
        <v>175</v>
      </c>
      <c r="K53" s="47">
        <v>90</v>
      </c>
      <c r="L53" s="19"/>
      <c r="M53" s="19" t="s">
        <v>16</v>
      </c>
      <c r="N53" s="19" t="s">
        <v>16</v>
      </c>
      <c r="O53" s="19">
        <v>0.4</v>
      </c>
      <c r="P53" s="19">
        <v>1.5</v>
      </c>
    </row>
    <row r="54" spans="1:16" ht="20.100000000000001" customHeight="1" x14ac:dyDescent="0.25">
      <c r="A54" s="18"/>
      <c r="B54" s="55" t="s">
        <v>122</v>
      </c>
      <c r="C54" s="27">
        <v>4254.3904000000002</v>
      </c>
      <c r="D54" s="19">
        <v>0</v>
      </c>
      <c r="E54" s="19">
        <v>0</v>
      </c>
      <c r="F54" s="43" t="s">
        <v>11</v>
      </c>
      <c r="G54" s="23">
        <v>520.2568</v>
      </c>
      <c r="H54" s="19">
        <v>4.5</v>
      </c>
      <c r="I54" s="45">
        <v>78.028800000000004</v>
      </c>
      <c r="J54" s="27">
        <v>21.875</v>
      </c>
      <c r="K54" s="47">
        <v>180</v>
      </c>
      <c r="L54" s="19"/>
      <c r="M54" s="19" t="s">
        <v>16</v>
      </c>
      <c r="N54" s="19" t="s">
        <v>16</v>
      </c>
      <c r="O54" s="19">
        <v>0.4</v>
      </c>
      <c r="P54" s="19">
        <v>1.5</v>
      </c>
    </row>
    <row r="55" spans="1:16" ht="20.100000000000001" customHeight="1" x14ac:dyDescent="0.25">
      <c r="A55" s="18"/>
      <c r="B55" s="55" t="s">
        <v>123</v>
      </c>
      <c r="C55" s="27">
        <v>4382.4192000000003</v>
      </c>
      <c r="D55" s="19">
        <v>0</v>
      </c>
      <c r="E55" s="19">
        <v>0</v>
      </c>
      <c r="F55" s="43" t="s">
        <v>11</v>
      </c>
      <c r="G55" s="23">
        <v>260.1284</v>
      </c>
      <c r="H55" s="19">
        <v>4.5</v>
      </c>
      <c r="I55" s="45">
        <v>4.8768000000000002</v>
      </c>
      <c r="J55" s="27">
        <v>175</v>
      </c>
      <c r="K55" s="47">
        <v>270</v>
      </c>
      <c r="L55" s="19"/>
      <c r="M55" s="19" t="s">
        <v>16</v>
      </c>
      <c r="N55" s="19" t="s">
        <v>16</v>
      </c>
      <c r="O55" s="19">
        <v>0.4</v>
      </c>
      <c r="P55" s="19">
        <v>1.5</v>
      </c>
    </row>
    <row r="56" spans="1:16" ht="20.100000000000001" customHeight="1" x14ac:dyDescent="0.25">
      <c r="A56" s="18"/>
      <c r="B56" s="55" t="s">
        <v>124</v>
      </c>
      <c r="C56" s="27">
        <v>4437.2960000000003</v>
      </c>
      <c r="D56" s="19">
        <v>0</v>
      </c>
      <c r="E56" s="19">
        <v>0</v>
      </c>
      <c r="F56" s="19" t="s">
        <v>16</v>
      </c>
      <c r="G56" s="23">
        <v>1768.5015080000001</v>
      </c>
      <c r="H56" s="19">
        <v>4.5</v>
      </c>
      <c r="I56" s="45">
        <v>30.48</v>
      </c>
      <c r="J56" s="27">
        <v>190.36</v>
      </c>
      <c r="K56" s="47"/>
      <c r="L56" s="19"/>
      <c r="M56" s="19" t="s">
        <v>16</v>
      </c>
      <c r="N56" s="19" t="s">
        <v>16</v>
      </c>
      <c r="O56" s="19">
        <v>0.4</v>
      </c>
      <c r="P56" s="19">
        <v>1.5</v>
      </c>
    </row>
    <row r="57" spans="1:16" ht="20.100000000000001" customHeight="1" x14ac:dyDescent="0.25">
      <c r="A57" s="18"/>
      <c r="B57" s="55" t="s">
        <v>125</v>
      </c>
      <c r="C57" s="27">
        <v>4517.7759999999998</v>
      </c>
      <c r="D57" s="19">
        <v>0</v>
      </c>
      <c r="E57" s="19">
        <v>0</v>
      </c>
      <c r="F57" s="19" t="s">
        <v>16</v>
      </c>
      <c r="G57" s="23">
        <v>1151.5326849999999</v>
      </c>
      <c r="H57" s="19">
        <v>4.5</v>
      </c>
      <c r="I57" s="45">
        <v>30.48</v>
      </c>
      <c r="J57" s="27">
        <v>123.95</v>
      </c>
      <c r="K57" s="47"/>
      <c r="L57" s="19"/>
      <c r="M57" s="19" t="s">
        <v>16</v>
      </c>
      <c r="N57" s="19" t="s">
        <v>16</v>
      </c>
      <c r="O57" s="19">
        <v>0.4</v>
      </c>
      <c r="P57" s="19">
        <v>1.5</v>
      </c>
    </row>
    <row r="58" spans="1:16" ht="20.100000000000001" customHeight="1" x14ac:dyDescent="0.25">
      <c r="A58" s="18"/>
      <c r="B58" s="55" t="s">
        <v>126</v>
      </c>
      <c r="C58" s="27">
        <v>4598.2559999999994</v>
      </c>
      <c r="D58" s="19">
        <v>0</v>
      </c>
      <c r="E58" s="19">
        <v>0</v>
      </c>
      <c r="F58" s="43" t="s">
        <v>11</v>
      </c>
      <c r="G58" s="23">
        <v>520.2568</v>
      </c>
      <c r="H58" s="19">
        <v>4.5</v>
      </c>
      <c r="I58" s="45">
        <v>78.028800000000004</v>
      </c>
      <c r="J58" s="27">
        <v>21.875</v>
      </c>
      <c r="K58" s="47">
        <v>0</v>
      </c>
      <c r="L58" s="19"/>
      <c r="M58" s="19" t="s">
        <v>11</v>
      </c>
      <c r="N58" s="19" t="s">
        <v>16</v>
      </c>
      <c r="O58" s="19">
        <v>0.4</v>
      </c>
      <c r="P58" s="19">
        <v>1.5</v>
      </c>
    </row>
    <row r="59" spans="1:16" ht="20.100000000000001" customHeight="1" x14ac:dyDescent="0.25">
      <c r="A59" s="18"/>
      <c r="B59" s="55" t="s">
        <v>127</v>
      </c>
      <c r="C59" s="27">
        <v>4726.2847999999994</v>
      </c>
      <c r="D59" s="19">
        <v>0</v>
      </c>
      <c r="E59" s="19">
        <v>0</v>
      </c>
      <c r="F59" s="43" t="s">
        <v>11</v>
      </c>
      <c r="G59" s="23">
        <v>260.1284</v>
      </c>
      <c r="H59" s="19">
        <v>4.5</v>
      </c>
      <c r="I59" s="45">
        <v>4.8768000000000002</v>
      </c>
      <c r="J59" s="27">
        <v>175</v>
      </c>
      <c r="K59" s="47">
        <v>90</v>
      </c>
      <c r="L59" s="19"/>
      <c r="M59" s="19" t="s">
        <v>11</v>
      </c>
      <c r="N59" s="19" t="s">
        <v>16</v>
      </c>
      <c r="O59" s="19">
        <v>0.4</v>
      </c>
      <c r="P59" s="19">
        <v>1.5</v>
      </c>
    </row>
    <row r="60" spans="1:16" ht="20.100000000000001" customHeight="1" x14ac:dyDescent="0.25">
      <c r="A60" s="18"/>
      <c r="B60" s="55" t="s">
        <v>128</v>
      </c>
      <c r="C60" s="27">
        <v>4781.1615999999995</v>
      </c>
      <c r="D60" s="19">
        <v>0</v>
      </c>
      <c r="E60" s="19">
        <v>0</v>
      </c>
      <c r="F60" s="43" t="s">
        <v>11</v>
      </c>
      <c r="G60" s="23">
        <v>520.2568</v>
      </c>
      <c r="H60" s="19">
        <v>4.5</v>
      </c>
      <c r="I60" s="45">
        <v>78.028800000000004</v>
      </c>
      <c r="J60" s="27">
        <v>21.875</v>
      </c>
      <c r="K60" s="47">
        <v>180</v>
      </c>
      <c r="L60" s="19"/>
      <c r="M60" s="19" t="s">
        <v>11</v>
      </c>
      <c r="N60" s="19" t="s">
        <v>16</v>
      </c>
      <c r="O60" s="19">
        <v>0.4</v>
      </c>
      <c r="P60" s="19">
        <v>1.5</v>
      </c>
    </row>
    <row r="61" spans="1:16" ht="20.100000000000001" customHeight="1" x14ac:dyDescent="0.25">
      <c r="A61" s="18"/>
      <c r="B61" s="55" t="s">
        <v>129</v>
      </c>
      <c r="C61" s="27">
        <v>4909.1903999999995</v>
      </c>
      <c r="D61" s="19">
        <v>0</v>
      </c>
      <c r="E61" s="19">
        <v>0</v>
      </c>
      <c r="F61" s="43" t="s">
        <v>11</v>
      </c>
      <c r="G61" s="23">
        <v>260.1284</v>
      </c>
      <c r="H61" s="19">
        <v>4.5</v>
      </c>
      <c r="I61" s="45">
        <v>4.8768000000000002</v>
      </c>
      <c r="J61" s="27">
        <v>175</v>
      </c>
      <c r="K61" s="47">
        <v>270</v>
      </c>
      <c r="L61" s="19"/>
      <c r="M61" s="19" t="s">
        <v>11</v>
      </c>
      <c r="N61" s="19" t="s">
        <v>16</v>
      </c>
      <c r="O61" s="19">
        <v>0.4</v>
      </c>
      <c r="P61" s="19">
        <v>1.5</v>
      </c>
    </row>
    <row r="62" spans="1:16" ht="20.100000000000001" customHeight="1" x14ac:dyDescent="0.25">
      <c r="A62" s="18"/>
      <c r="B62" s="55" t="s">
        <v>130</v>
      </c>
      <c r="C62" s="27">
        <v>4964.0671999999995</v>
      </c>
      <c r="D62" s="19">
        <v>0</v>
      </c>
      <c r="E62" s="19">
        <v>0</v>
      </c>
      <c r="F62" s="19" t="s">
        <v>16</v>
      </c>
      <c r="G62" s="23">
        <v>1768.5015080000001</v>
      </c>
      <c r="H62" s="19">
        <v>4.5</v>
      </c>
      <c r="I62" s="45">
        <v>30.48</v>
      </c>
      <c r="J62" s="27">
        <v>190.36</v>
      </c>
      <c r="K62" s="47"/>
      <c r="L62" s="19"/>
      <c r="M62" s="19" t="s">
        <v>11</v>
      </c>
      <c r="N62" s="19" t="s">
        <v>16</v>
      </c>
      <c r="O62" s="19">
        <v>0.4</v>
      </c>
      <c r="P62" s="19">
        <v>1.5</v>
      </c>
    </row>
    <row r="63" spans="1:16" ht="20.100000000000001" customHeight="1" x14ac:dyDescent="0.25">
      <c r="A63" s="18"/>
      <c r="B63" s="55" t="s">
        <v>131</v>
      </c>
      <c r="C63" s="27">
        <v>5044.5471999999991</v>
      </c>
      <c r="D63" s="19">
        <v>0</v>
      </c>
      <c r="E63" s="19">
        <v>0</v>
      </c>
      <c r="F63" s="19" t="s">
        <v>16</v>
      </c>
      <c r="G63" s="23">
        <v>1151.5326849999999</v>
      </c>
      <c r="H63" s="19">
        <v>4.5</v>
      </c>
      <c r="I63" s="45">
        <v>30.48</v>
      </c>
      <c r="J63" s="27">
        <v>123.95</v>
      </c>
      <c r="K63" s="47"/>
      <c r="L63" s="19"/>
      <c r="M63" s="19" t="s">
        <v>11</v>
      </c>
      <c r="N63" s="19" t="s">
        <v>16</v>
      </c>
      <c r="O63" s="19">
        <v>0.4</v>
      </c>
      <c r="P63" s="19">
        <v>1.5</v>
      </c>
    </row>
    <row r="64" spans="1:16" ht="20.100000000000001" customHeight="1" x14ac:dyDescent="0.25">
      <c r="A64" s="18"/>
      <c r="B64" s="55"/>
      <c r="C64" s="19"/>
      <c r="D64" s="19"/>
      <c r="E64" s="19"/>
      <c r="F64" s="19"/>
      <c r="G64" s="23"/>
      <c r="H64" s="19"/>
      <c r="I64" s="45"/>
      <c r="J64" s="27"/>
      <c r="K64" s="47"/>
      <c r="L64" s="19"/>
      <c r="M64" s="19"/>
      <c r="N64" s="19"/>
      <c r="O64" s="19"/>
      <c r="P64" s="19"/>
    </row>
    <row r="65" spans="1:16" ht="20.100000000000001" customHeight="1" x14ac:dyDescent="0.25">
      <c r="A65" s="18"/>
      <c r="B65" s="55"/>
      <c r="C65" s="19"/>
      <c r="D65" s="19"/>
      <c r="E65" s="19"/>
      <c r="F65" s="19"/>
      <c r="G65" s="23"/>
      <c r="H65" s="19"/>
      <c r="I65" s="45"/>
      <c r="J65" s="27"/>
      <c r="K65" s="47"/>
      <c r="L65" s="19"/>
      <c r="M65" s="19"/>
      <c r="N65" s="19"/>
      <c r="O65" s="19"/>
      <c r="P65" s="19"/>
    </row>
    <row r="66" spans="1:16" ht="20.100000000000001" customHeight="1" x14ac:dyDescent="0.25">
      <c r="A66" s="18"/>
      <c r="B66" s="55"/>
      <c r="C66" s="19"/>
      <c r="D66" s="19"/>
      <c r="E66" s="19"/>
      <c r="F66" s="19"/>
      <c r="G66" s="23"/>
      <c r="H66" s="19"/>
      <c r="I66" s="45"/>
      <c r="J66" s="27"/>
      <c r="K66" s="47"/>
      <c r="L66" s="19"/>
      <c r="M66" s="19"/>
      <c r="N66" s="19"/>
      <c r="O66" s="19"/>
      <c r="P66" s="19"/>
    </row>
    <row r="67" spans="1:16" ht="20.100000000000001" customHeight="1" x14ac:dyDescent="0.25">
      <c r="A67" s="18"/>
      <c r="B67" s="55"/>
      <c r="C67" s="19"/>
      <c r="D67" s="19"/>
      <c r="E67" s="19"/>
      <c r="F67" s="19"/>
      <c r="G67" s="23"/>
      <c r="H67" s="19"/>
      <c r="I67" s="45"/>
      <c r="J67" s="27"/>
      <c r="K67" s="47"/>
      <c r="L67" s="19"/>
      <c r="M67" s="19"/>
      <c r="N67" s="19"/>
      <c r="O67" s="19"/>
      <c r="P67" s="19"/>
    </row>
    <row r="68" spans="1:16" ht="20.100000000000001" customHeight="1" x14ac:dyDescent="0.25">
      <c r="A68" s="18"/>
      <c r="B68" s="55"/>
      <c r="C68" s="19"/>
      <c r="D68" s="19"/>
      <c r="E68" s="19"/>
      <c r="F68" s="19"/>
      <c r="G68" s="23"/>
      <c r="H68" s="19"/>
      <c r="I68" s="45"/>
      <c r="J68" s="27"/>
      <c r="K68" s="47"/>
      <c r="L68" s="19"/>
      <c r="M68" s="19"/>
      <c r="N68" s="19"/>
      <c r="O68" s="19"/>
      <c r="P68" s="19"/>
    </row>
    <row r="69" spans="1:16" ht="20.100000000000001" customHeight="1" x14ac:dyDescent="0.25">
      <c r="A69" s="18"/>
      <c r="B69" s="55"/>
      <c r="C69" s="19"/>
      <c r="D69" s="19"/>
      <c r="E69" s="19"/>
      <c r="F69" s="19"/>
      <c r="G69" s="23"/>
      <c r="H69" s="19"/>
      <c r="I69" s="45"/>
      <c r="J69" s="27"/>
      <c r="K69" s="47"/>
      <c r="L69" s="19"/>
      <c r="M69" s="19"/>
      <c r="N69" s="19"/>
      <c r="O69" s="19"/>
      <c r="P69" s="19"/>
    </row>
    <row r="70" spans="1:16" ht="20.100000000000001" customHeight="1" x14ac:dyDescent="0.25">
      <c r="A70" s="18"/>
      <c r="B70" s="55"/>
      <c r="C70" s="19"/>
      <c r="D70" s="19"/>
      <c r="E70" s="19"/>
      <c r="F70" s="19"/>
      <c r="G70" s="23"/>
      <c r="H70" s="19"/>
      <c r="I70" s="45"/>
      <c r="J70" s="27"/>
      <c r="K70" s="47"/>
      <c r="L70" s="19"/>
      <c r="M70" s="19"/>
      <c r="N70" s="19"/>
      <c r="O70" s="19"/>
      <c r="P70" s="19"/>
    </row>
    <row r="71" spans="1:16" ht="20.100000000000001" customHeight="1" x14ac:dyDescent="0.25">
      <c r="A71" s="18"/>
      <c r="B71" s="55"/>
      <c r="C71" s="19"/>
      <c r="D71" s="19"/>
      <c r="E71" s="19"/>
      <c r="F71" s="19"/>
      <c r="G71" s="23"/>
      <c r="H71" s="19"/>
      <c r="I71" s="45"/>
      <c r="J71" s="27"/>
      <c r="K71" s="47"/>
      <c r="L71" s="19"/>
      <c r="M71" s="19"/>
      <c r="N71" s="19"/>
      <c r="O71" s="19"/>
      <c r="P71" s="19"/>
    </row>
    <row r="72" spans="1:16" ht="20.100000000000001" customHeight="1" x14ac:dyDescent="0.25">
      <c r="A72" s="18"/>
      <c r="B72" s="55"/>
      <c r="C72" s="19"/>
      <c r="D72" s="19"/>
      <c r="E72" s="19"/>
      <c r="F72" s="19"/>
      <c r="G72" s="23"/>
      <c r="H72" s="19"/>
      <c r="I72" s="45"/>
      <c r="J72" s="27"/>
      <c r="K72" s="47"/>
      <c r="L72" s="19"/>
      <c r="M72" s="19"/>
      <c r="N72" s="19"/>
      <c r="O72" s="19"/>
      <c r="P72" s="19"/>
    </row>
    <row r="73" spans="1:16" ht="20.100000000000001" customHeight="1" x14ac:dyDescent="0.25">
      <c r="A73" s="18"/>
      <c r="B73" s="55"/>
      <c r="C73" s="19"/>
      <c r="D73" s="19"/>
      <c r="E73" s="19"/>
      <c r="F73" s="19"/>
      <c r="G73" s="23"/>
      <c r="H73" s="19"/>
      <c r="I73" s="45"/>
      <c r="J73" s="27"/>
      <c r="K73" s="47"/>
      <c r="L73" s="19"/>
      <c r="M73" s="19"/>
      <c r="N73" s="19"/>
      <c r="O73" s="19"/>
      <c r="P73" s="19"/>
    </row>
    <row r="74" spans="1:16" ht="20.100000000000001" customHeight="1" x14ac:dyDescent="0.25">
      <c r="A74" s="18"/>
      <c r="B74" s="55"/>
      <c r="C74" s="19"/>
      <c r="D74" s="19"/>
      <c r="E74" s="19"/>
      <c r="F74" s="19"/>
      <c r="G74" s="23"/>
      <c r="H74" s="19"/>
      <c r="I74" s="45"/>
      <c r="J74" s="27"/>
      <c r="K74" s="47"/>
      <c r="L74" s="19"/>
      <c r="M74" s="19"/>
      <c r="N74" s="19"/>
      <c r="O74" s="19"/>
      <c r="P74" s="19"/>
    </row>
    <row r="75" spans="1:16" ht="20.100000000000001" customHeight="1" x14ac:dyDescent="0.25">
      <c r="A75" s="18"/>
      <c r="B75" s="55"/>
      <c r="C75" s="19"/>
      <c r="D75" s="19"/>
      <c r="E75" s="19"/>
      <c r="F75" s="19"/>
      <c r="G75" s="23"/>
      <c r="H75" s="19"/>
      <c r="I75" s="45"/>
      <c r="J75" s="27"/>
      <c r="K75" s="47"/>
      <c r="L75" s="19"/>
      <c r="M75" s="19"/>
      <c r="N75" s="19"/>
      <c r="O75" s="19"/>
      <c r="P75" s="19"/>
    </row>
    <row r="76" spans="1:16" ht="20.100000000000001" customHeight="1" x14ac:dyDescent="0.25">
      <c r="A76" s="18"/>
      <c r="B76" s="55"/>
      <c r="C76" s="19"/>
      <c r="D76" s="19"/>
      <c r="E76" s="19"/>
      <c r="F76" s="19"/>
      <c r="G76" s="23"/>
      <c r="H76" s="19"/>
      <c r="I76" s="45"/>
      <c r="J76" s="27"/>
      <c r="K76" s="47"/>
      <c r="L76" s="19"/>
      <c r="M76" s="19"/>
      <c r="N76" s="19"/>
      <c r="O76" s="19"/>
      <c r="P76" s="19"/>
    </row>
    <row r="77" spans="1:16" ht="20.100000000000001" customHeight="1" x14ac:dyDescent="0.25">
      <c r="A77" s="18"/>
      <c r="B77" s="55"/>
      <c r="C77" s="19"/>
      <c r="D77" s="19"/>
      <c r="E77" s="19"/>
      <c r="F77" s="19"/>
      <c r="G77" s="23"/>
      <c r="H77" s="19"/>
      <c r="I77" s="45"/>
      <c r="J77" s="27"/>
      <c r="K77" s="47"/>
      <c r="L77" s="19"/>
      <c r="M77" s="19"/>
      <c r="N77" s="19"/>
      <c r="O77" s="19"/>
      <c r="P77" s="19"/>
    </row>
    <row r="78" spans="1:16" ht="20.100000000000001" customHeight="1" x14ac:dyDescent="0.25">
      <c r="A78" s="18"/>
      <c r="B78" s="55"/>
      <c r="C78" s="19"/>
      <c r="D78" s="19"/>
      <c r="E78" s="19"/>
      <c r="F78" s="19"/>
      <c r="G78" s="23"/>
      <c r="H78" s="19"/>
      <c r="I78" s="45"/>
      <c r="J78" s="27"/>
      <c r="K78" s="47"/>
      <c r="L78" s="19"/>
      <c r="M78" s="19"/>
      <c r="N78" s="19"/>
      <c r="O78" s="19"/>
      <c r="P78" s="19"/>
    </row>
    <row r="79" spans="1:16" ht="20.100000000000001" customHeight="1" x14ac:dyDescent="0.25">
      <c r="A79" s="18"/>
      <c r="B79" s="55"/>
      <c r="C79" s="19"/>
      <c r="D79" s="19"/>
      <c r="E79" s="19"/>
      <c r="F79" s="19"/>
      <c r="G79" s="23"/>
      <c r="H79" s="19"/>
      <c r="I79" s="45"/>
      <c r="J79" s="27"/>
      <c r="K79" s="47"/>
      <c r="L79" s="19"/>
      <c r="M79" s="19"/>
      <c r="N79" s="19"/>
      <c r="O79" s="19"/>
      <c r="P79" s="19"/>
    </row>
    <row r="80" spans="1:16" ht="20.100000000000001" customHeight="1" x14ac:dyDescent="0.25">
      <c r="A80" s="18"/>
      <c r="B80" s="55"/>
      <c r="C80" s="19"/>
      <c r="D80" s="19"/>
      <c r="E80" s="19"/>
      <c r="F80" s="19"/>
      <c r="G80" s="23"/>
      <c r="H80" s="19"/>
      <c r="I80" s="45"/>
      <c r="J80" s="27"/>
      <c r="K80" s="47"/>
      <c r="L80" s="19"/>
      <c r="M80" s="19"/>
      <c r="N80" s="19"/>
      <c r="O80" s="19"/>
      <c r="P80" s="19"/>
    </row>
    <row r="81" spans="1:16" ht="20.100000000000001" customHeight="1" x14ac:dyDescent="0.25">
      <c r="A81" s="18"/>
      <c r="B81" s="55"/>
      <c r="C81" s="19"/>
      <c r="D81" s="19"/>
      <c r="E81" s="19"/>
      <c r="F81" s="19"/>
      <c r="G81" s="23"/>
      <c r="H81" s="19"/>
      <c r="I81" s="45"/>
      <c r="J81" s="27"/>
      <c r="K81" s="47"/>
      <c r="L81" s="19"/>
      <c r="M81" s="19"/>
      <c r="N81" s="19"/>
      <c r="O81" s="19"/>
      <c r="P81" s="19"/>
    </row>
    <row r="82" spans="1:16" ht="20.100000000000001" customHeight="1" x14ac:dyDescent="0.25">
      <c r="A82" s="18"/>
      <c r="B82" s="55"/>
      <c r="C82" s="19"/>
      <c r="D82" s="19"/>
      <c r="E82" s="19"/>
      <c r="F82" s="19"/>
      <c r="G82" s="23"/>
      <c r="H82" s="19"/>
      <c r="I82" s="45"/>
      <c r="J82" s="27"/>
      <c r="K82" s="47"/>
      <c r="L82" s="19"/>
      <c r="M82" s="19"/>
      <c r="N82" s="19"/>
      <c r="O82" s="19"/>
      <c r="P82" s="19"/>
    </row>
    <row r="83" spans="1:16" ht="20.100000000000001" customHeight="1" x14ac:dyDescent="0.25">
      <c r="A83" s="18"/>
      <c r="B83" s="55"/>
      <c r="C83" s="19"/>
      <c r="D83" s="19"/>
      <c r="E83" s="19"/>
      <c r="F83" s="19"/>
      <c r="G83" s="23"/>
      <c r="H83" s="19"/>
      <c r="I83" s="45"/>
      <c r="J83" s="27"/>
      <c r="K83" s="47"/>
      <c r="L83" s="19"/>
      <c r="M83" s="19"/>
      <c r="N83" s="19"/>
      <c r="O83" s="19"/>
      <c r="P83" s="19"/>
    </row>
    <row r="84" spans="1:16" ht="20.100000000000001" customHeight="1" x14ac:dyDescent="0.25">
      <c r="A84" s="18"/>
      <c r="B84" s="55"/>
      <c r="C84" s="19"/>
      <c r="D84" s="19"/>
      <c r="E84" s="19"/>
      <c r="F84" s="19"/>
      <c r="G84" s="23"/>
      <c r="H84" s="19"/>
      <c r="I84" s="45"/>
      <c r="J84" s="27"/>
      <c r="K84" s="47"/>
      <c r="L84" s="19"/>
      <c r="M84" s="19"/>
      <c r="N84" s="19"/>
      <c r="O84" s="19"/>
      <c r="P84" s="19"/>
    </row>
    <row r="85" spans="1:16" ht="20.100000000000001" customHeight="1" x14ac:dyDescent="0.25">
      <c r="A85" s="18"/>
      <c r="B85" s="55"/>
      <c r="C85" s="19"/>
      <c r="D85" s="19"/>
      <c r="E85" s="19"/>
      <c r="F85" s="19"/>
      <c r="G85" s="23"/>
      <c r="H85" s="19"/>
      <c r="I85" s="45"/>
      <c r="J85" s="27"/>
      <c r="K85" s="47"/>
      <c r="L85" s="19"/>
      <c r="M85" s="19"/>
      <c r="N85" s="19"/>
      <c r="O85" s="19"/>
      <c r="P85" s="19"/>
    </row>
    <row r="86" spans="1:16" ht="20.100000000000001" customHeight="1" x14ac:dyDescent="0.25">
      <c r="A86" s="18"/>
      <c r="B86" s="55"/>
      <c r="C86" s="19"/>
      <c r="D86" s="19"/>
      <c r="E86" s="19"/>
      <c r="F86" s="19"/>
      <c r="G86" s="23"/>
      <c r="H86" s="19"/>
      <c r="I86" s="45"/>
      <c r="J86" s="27"/>
      <c r="K86" s="47"/>
      <c r="L86" s="19"/>
      <c r="M86" s="19"/>
      <c r="N86" s="19"/>
      <c r="O86" s="19"/>
      <c r="P86" s="19"/>
    </row>
    <row r="87" spans="1:16" ht="20.100000000000001" customHeight="1" x14ac:dyDescent="0.25">
      <c r="A87" s="18"/>
      <c r="B87" s="55"/>
      <c r="C87" s="19"/>
      <c r="D87" s="19"/>
      <c r="E87" s="19"/>
      <c r="F87" s="19"/>
      <c r="G87" s="23"/>
      <c r="H87" s="19"/>
      <c r="I87" s="45"/>
      <c r="J87" s="27"/>
      <c r="K87" s="47"/>
      <c r="L87" s="19"/>
      <c r="M87" s="19"/>
      <c r="N87" s="19"/>
      <c r="O87" s="19"/>
      <c r="P87" s="19"/>
    </row>
    <row r="88" spans="1:16" ht="20.100000000000001" customHeight="1" x14ac:dyDescent="0.25">
      <c r="A88" s="18"/>
      <c r="B88" s="55"/>
      <c r="C88" s="19"/>
      <c r="D88" s="19"/>
      <c r="E88" s="19"/>
      <c r="F88" s="19"/>
      <c r="G88" s="23"/>
      <c r="H88" s="19"/>
      <c r="I88" s="45"/>
      <c r="J88" s="27"/>
      <c r="K88" s="47"/>
      <c r="L88" s="19"/>
      <c r="M88" s="19"/>
      <c r="N88" s="19"/>
      <c r="O88" s="19"/>
      <c r="P88" s="19"/>
    </row>
    <row r="89" spans="1:16" ht="20.100000000000001" customHeight="1" x14ac:dyDescent="0.25">
      <c r="A89" s="18"/>
      <c r="B89" s="55"/>
      <c r="C89" s="19"/>
      <c r="D89" s="19"/>
      <c r="E89" s="19"/>
      <c r="F89" s="19"/>
      <c r="G89" s="23"/>
      <c r="H89" s="19"/>
      <c r="I89" s="45"/>
      <c r="J89" s="27"/>
      <c r="K89" s="47"/>
      <c r="L89" s="19"/>
      <c r="M89" s="19"/>
      <c r="N89" s="19"/>
      <c r="O89" s="19"/>
      <c r="P89" s="19"/>
    </row>
    <row r="90" spans="1:16" ht="20.100000000000001" customHeight="1" x14ac:dyDescent="0.25">
      <c r="A90" s="18"/>
      <c r="B90" s="55"/>
      <c r="C90" s="19"/>
      <c r="D90" s="19"/>
      <c r="E90" s="19"/>
      <c r="F90" s="19"/>
      <c r="G90" s="23"/>
      <c r="H90" s="19"/>
      <c r="I90" s="45"/>
      <c r="J90" s="27"/>
      <c r="K90" s="47"/>
      <c r="L90" s="19"/>
      <c r="M90" s="19"/>
      <c r="N90" s="19"/>
      <c r="O90" s="19"/>
      <c r="P90" s="19"/>
    </row>
    <row r="91" spans="1:16" ht="20.100000000000001" customHeight="1" x14ac:dyDescent="0.25">
      <c r="A91" s="18"/>
      <c r="B91" s="55"/>
      <c r="C91" s="19"/>
      <c r="D91" s="19"/>
      <c r="E91" s="19"/>
      <c r="F91" s="19"/>
      <c r="G91" s="23"/>
      <c r="H91" s="19"/>
      <c r="I91" s="45"/>
      <c r="J91" s="27"/>
      <c r="K91" s="47"/>
      <c r="L91" s="19"/>
      <c r="M91" s="19"/>
      <c r="N91" s="19"/>
      <c r="O91" s="19"/>
      <c r="P91" s="19"/>
    </row>
    <row r="92" spans="1:16" ht="20.100000000000001" customHeight="1" x14ac:dyDescent="0.25">
      <c r="A92" s="18"/>
      <c r="B92" s="55"/>
      <c r="C92" s="19"/>
      <c r="D92" s="19"/>
      <c r="E92" s="19"/>
      <c r="F92" s="19"/>
      <c r="G92" s="23"/>
      <c r="H92" s="19"/>
      <c r="I92" s="45"/>
      <c r="J92" s="27"/>
      <c r="K92" s="47"/>
      <c r="L92" s="19"/>
      <c r="M92" s="19"/>
      <c r="N92" s="19"/>
      <c r="O92" s="19"/>
      <c r="P92" s="19"/>
    </row>
    <row r="93" spans="1:16" ht="20.100000000000001" customHeight="1" x14ac:dyDescent="0.25">
      <c r="A93" s="18"/>
      <c r="B93" s="55"/>
      <c r="C93" s="19"/>
      <c r="D93" s="19"/>
      <c r="E93" s="19"/>
      <c r="F93" s="19"/>
      <c r="G93" s="23"/>
      <c r="H93" s="19"/>
      <c r="I93" s="45"/>
      <c r="J93" s="27"/>
      <c r="K93" s="47"/>
      <c r="L93" s="19"/>
      <c r="M93" s="19"/>
      <c r="N93" s="19"/>
      <c r="O93" s="19"/>
      <c r="P93" s="19"/>
    </row>
    <row r="94" spans="1:16" ht="20.100000000000001" customHeight="1" x14ac:dyDescent="0.25">
      <c r="A94" s="18"/>
      <c r="B94" s="55"/>
      <c r="C94" s="19"/>
      <c r="D94" s="19"/>
      <c r="E94" s="19"/>
      <c r="F94" s="19"/>
      <c r="G94" s="23"/>
      <c r="H94" s="19"/>
      <c r="I94" s="45"/>
      <c r="J94" s="27"/>
      <c r="K94" s="47"/>
      <c r="L94" s="19"/>
      <c r="M94" s="19"/>
      <c r="N94" s="19"/>
      <c r="O94" s="19"/>
      <c r="P94" s="19"/>
    </row>
    <row r="95" spans="1:16" ht="20.100000000000001" customHeight="1" x14ac:dyDescent="0.25">
      <c r="A95" s="18"/>
      <c r="B95" s="55"/>
      <c r="C95" s="19"/>
      <c r="D95" s="19"/>
      <c r="E95" s="19"/>
      <c r="F95" s="19"/>
      <c r="G95" s="23"/>
      <c r="H95" s="19"/>
      <c r="I95" s="45"/>
      <c r="J95" s="27"/>
      <c r="K95" s="47"/>
      <c r="L95" s="19"/>
      <c r="M95" s="19"/>
      <c r="N95" s="19"/>
      <c r="O95" s="19"/>
      <c r="P95" s="19"/>
    </row>
    <row r="96" spans="1:16" ht="20.100000000000001" customHeight="1" x14ac:dyDescent="0.25">
      <c r="A96" s="18"/>
      <c r="B96" s="55"/>
      <c r="C96" s="19"/>
      <c r="D96" s="19"/>
      <c r="E96" s="19"/>
      <c r="F96" s="19"/>
      <c r="G96" s="23"/>
      <c r="H96" s="19"/>
      <c r="I96" s="45"/>
      <c r="J96" s="27"/>
      <c r="K96" s="47"/>
      <c r="L96" s="19"/>
      <c r="M96" s="19"/>
      <c r="N96" s="19"/>
      <c r="O96" s="19"/>
      <c r="P96" s="19"/>
    </row>
    <row r="97" spans="1:16" ht="20.100000000000001" customHeight="1" x14ac:dyDescent="0.25">
      <c r="A97" s="18"/>
      <c r="B97" s="55"/>
      <c r="C97" s="19"/>
      <c r="D97" s="19"/>
      <c r="E97" s="19"/>
      <c r="F97" s="19"/>
      <c r="G97" s="23"/>
      <c r="H97" s="19"/>
      <c r="I97" s="45"/>
      <c r="J97" s="27"/>
      <c r="K97" s="47"/>
      <c r="L97" s="19"/>
      <c r="M97" s="19"/>
      <c r="N97" s="19"/>
      <c r="O97" s="19"/>
      <c r="P97" s="19"/>
    </row>
    <row r="98" spans="1:16" ht="20.100000000000001" customHeight="1" x14ac:dyDescent="0.25">
      <c r="A98" s="18"/>
      <c r="B98" s="55"/>
      <c r="C98" s="19"/>
      <c r="D98" s="19"/>
      <c r="E98" s="19"/>
      <c r="F98" s="19"/>
      <c r="G98" s="23"/>
      <c r="H98" s="19"/>
      <c r="I98" s="45"/>
      <c r="J98" s="27"/>
      <c r="K98" s="47"/>
      <c r="L98" s="19"/>
      <c r="M98" s="19"/>
      <c r="N98" s="19"/>
      <c r="O98" s="19"/>
      <c r="P98" s="19"/>
    </row>
    <row r="99" spans="1:16" ht="20.100000000000001" customHeight="1" x14ac:dyDescent="0.25">
      <c r="A99" s="18"/>
      <c r="B99" s="55"/>
      <c r="C99" s="19"/>
      <c r="D99" s="19"/>
      <c r="E99" s="19"/>
      <c r="F99" s="19"/>
      <c r="G99" s="23"/>
      <c r="H99" s="19"/>
      <c r="I99" s="45"/>
      <c r="J99" s="27"/>
      <c r="K99" s="47"/>
      <c r="L99" s="19"/>
      <c r="M99" s="19"/>
      <c r="N99" s="19"/>
      <c r="O99" s="19"/>
      <c r="P99" s="19"/>
    </row>
    <row r="100" spans="1:16" ht="20.100000000000001" customHeight="1" x14ac:dyDescent="0.25">
      <c r="A100" s="18"/>
      <c r="B100" s="55"/>
      <c r="C100" s="19"/>
      <c r="D100" s="19"/>
      <c r="E100" s="19"/>
      <c r="F100" s="19"/>
      <c r="G100" s="23"/>
      <c r="H100" s="19"/>
      <c r="I100" s="45"/>
      <c r="J100" s="27"/>
      <c r="K100" s="47"/>
      <c r="L100" s="19"/>
      <c r="M100" s="19"/>
      <c r="N100" s="19"/>
      <c r="O100" s="19"/>
      <c r="P100" s="19"/>
    </row>
    <row r="101" spans="1:16" ht="20.100000000000001" customHeight="1" x14ac:dyDescent="0.25">
      <c r="A101" s="18"/>
      <c r="B101" s="55"/>
      <c r="C101" s="19"/>
      <c r="D101" s="19"/>
      <c r="E101" s="19"/>
      <c r="F101" s="19"/>
      <c r="G101" s="23"/>
      <c r="H101" s="19"/>
      <c r="I101" s="45"/>
      <c r="J101" s="27"/>
      <c r="K101" s="47"/>
      <c r="L101" s="19"/>
      <c r="M101" s="19"/>
      <c r="N101" s="19"/>
      <c r="O101" s="19"/>
      <c r="P101" s="19"/>
    </row>
    <row r="102" spans="1:16" ht="20.100000000000001" customHeight="1" x14ac:dyDescent="0.25">
      <c r="A102" s="18"/>
      <c r="B102" s="55"/>
      <c r="C102" s="19"/>
      <c r="D102" s="19"/>
      <c r="E102" s="19"/>
      <c r="F102" s="19"/>
      <c r="G102" s="23"/>
      <c r="H102" s="19"/>
      <c r="I102" s="45"/>
      <c r="J102" s="27"/>
      <c r="K102" s="47"/>
      <c r="L102" s="19"/>
      <c r="M102" s="19"/>
      <c r="N102" s="19"/>
      <c r="O102" s="19"/>
      <c r="P102" s="19"/>
    </row>
    <row r="103" spans="1:16" ht="20.100000000000001" customHeight="1" x14ac:dyDescent="0.25">
      <c r="A103" s="18"/>
      <c r="B103" s="55"/>
      <c r="C103" s="19"/>
      <c r="D103" s="19"/>
      <c r="E103" s="19"/>
      <c r="F103" s="19"/>
      <c r="G103" s="23"/>
      <c r="H103" s="19"/>
      <c r="I103" s="45"/>
      <c r="J103" s="27"/>
      <c r="K103" s="47"/>
      <c r="L103" s="19"/>
      <c r="M103" s="19"/>
      <c r="N103" s="19"/>
      <c r="O103" s="19"/>
      <c r="P103" s="19"/>
    </row>
    <row r="104" spans="1:16" ht="20.100000000000001" customHeight="1" x14ac:dyDescent="0.25">
      <c r="A104" s="18"/>
      <c r="B104" s="55"/>
      <c r="C104" s="19"/>
      <c r="D104" s="19"/>
      <c r="E104" s="19"/>
      <c r="F104" s="19"/>
      <c r="G104" s="23"/>
      <c r="H104" s="19"/>
      <c r="I104" s="45"/>
      <c r="J104" s="27"/>
      <c r="K104" s="47"/>
      <c r="L104" s="19"/>
      <c r="M104" s="19"/>
      <c r="N104" s="19"/>
      <c r="O104" s="19"/>
      <c r="P104" s="19"/>
    </row>
    <row r="105" spans="1:16" ht="20.100000000000001" customHeight="1" x14ac:dyDescent="0.25">
      <c r="A105" s="18"/>
      <c r="B105" s="55"/>
      <c r="C105" s="19"/>
      <c r="D105" s="19"/>
      <c r="E105" s="19"/>
      <c r="F105" s="19"/>
      <c r="G105" s="23"/>
      <c r="H105" s="19"/>
      <c r="I105" s="45"/>
      <c r="J105" s="27"/>
      <c r="K105" s="47"/>
      <c r="L105" s="19"/>
      <c r="M105" s="19"/>
      <c r="N105" s="19"/>
      <c r="O105" s="19"/>
      <c r="P105" s="19"/>
    </row>
    <row r="106" spans="1:16" ht="20.100000000000001" customHeight="1" x14ac:dyDescent="0.25">
      <c r="A106" s="18"/>
      <c r="B106" s="55"/>
      <c r="C106" s="19"/>
      <c r="D106" s="19"/>
      <c r="E106" s="19"/>
      <c r="F106" s="19"/>
      <c r="G106" s="23"/>
      <c r="H106" s="19"/>
      <c r="I106" s="45"/>
      <c r="J106" s="27"/>
      <c r="K106" s="47"/>
      <c r="L106" s="19"/>
      <c r="M106" s="19"/>
      <c r="N106" s="19"/>
      <c r="O106" s="19"/>
      <c r="P106" s="19"/>
    </row>
    <row r="107" spans="1:16" ht="20.100000000000001" customHeight="1" x14ac:dyDescent="0.25">
      <c r="A107" s="18"/>
      <c r="B107" s="55"/>
      <c r="C107" s="19"/>
      <c r="D107" s="19"/>
      <c r="E107" s="19"/>
      <c r="F107" s="19"/>
      <c r="G107" s="23"/>
      <c r="H107" s="19"/>
      <c r="I107" s="45"/>
      <c r="J107" s="27"/>
      <c r="K107" s="47"/>
      <c r="L107" s="19"/>
      <c r="M107" s="19"/>
      <c r="N107" s="19"/>
      <c r="O107" s="19"/>
      <c r="P107" s="19"/>
    </row>
    <row r="108" spans="1:16" ht="20.100000000000001" customHeight="1" x14ac:dyDescent="0.25">
      <c r="A108" s="18"/>
      <c r="B108" s="55"/>
      <c r="C108" s="19"/>
      <c r="D108" s="19"/>
      <c r="E108" s="19"/>
      <c r="F108" s="19"/>
      <c r="G108" s="23"/>
      <c r="H108" s="19"/>
      <c r="I108" s="45"/>
      <c r="J108" s="27"/>
      <c r="K108" s="47"/>
      <c r="L108" s="19"/>
      <c r="M108" s="19"/>
      <c r="N108" s="19"/>
      <c r="O108" s="19"/>
      <c r="P108" s="19"/>
    </row>
    <row r="109" spans="1:16" ht="20.100000000000001" customHeight="1" x14ac:dyDescent="0.25">
      <c r="A109" s="18"/>
      <c r="B109" s="55"/>
      <c r="C109" s="19"/>
      <c r="D109" s="19"/>
      <c r="E109" s="19"/>
      <c r="F109" s="19"/>
      <c r="G109" s="23"/>
      <c r="H109" s="19"/>
      <c r="I109" s="45"/>
      <c r="J109" s="27"/>
      <c r="K109" s="47"/>
      <c r="L109" s="19"/>
      <c r="M109" s="19"/>
      <c r="N109" s="19"/>
      <c r="O109" s="19"/>
      <c r="P109" s="19"/>
    </row>
    <row r="110" spans="1:16" ht="20.100000000000001" customHeight="1" x14ac:dyDescent="0.25">
      <c r="A110" s="18"/>
      <c r="B110" s="55"/>
      <c r="C110" s="19"/>
      <c r="D110" s="19"/>
      <c r="E110" s="19"/>
      <c r="F110" s="19"/>
      <c r="G110" s="23"/>
      <c r="H110" s="19"/>
      <c r="I110" s="45"/>
      <c r="J110" s="27"/>
      <c r="K110" s="47"/>
      <c r="L110" s="19"/>
      <c r="M110" s="19"/>
      <c r="N110" s="19"/>
      <c r="O110" s="19"/>
      <c r="P110" s="19"/>
    </row>
    <row r="111" spans="1:16" ht="20.100000000000001" customHeight="1" x14ac:dyDescent="0.25">
      <c r="A111" s="18"/>
      <c r="B111" s="55"/>
      <c r="C111" s="19"/>
      <c r="D111" s="19"/>
      <c r="E111" s="19"/>
      <c r="F111" s="19"/>
      <c r="G111" s="23"/>
      <c r="H111" s="19"/>
      <c r="I111" s="45"/>
      <c r="J111" s="27"/>
      <c r="K111" s="47"/>
      <c r="L111" s="19"/>
      <c r="M111" s="19"/>
      <c r="N111" s="19"/>
      <c r="O111" s="19"/>
      <c r="P111" s="19"/>
    </row>
    <row r="112" spans="1:16" ht="20.100000000000001" customHeight="1" x14ac:dyDescent="0.25">
      <c r="A112" s="18"/>
      <c r="B112" s="55"/>
      <c r="C112" s="19"/>
      <c r="D112" s="19"/>
      <c r="E112" s="19"/>
      <c r="F112" s="19"/>
      <c r="G112" s="23"/>
      <c r="H112" s="19"/>
      <c r="I112" s="45"/>
      <c r="J112" s="27"/>
      <c r="K112" s="47"/>
      <c r="L112" s="19"/>
      <c r="M112" s="19"/>
      <c r="N112" s="19"/>
      <c r="O112" s="19"/>
      <c r="P112" s="19"/>
    </row>
    <row r="113" spans="1:16" ht="20.100000000000001" customHeight="1" x14ac:dyDescent="0.25">
      <c r="A113" s="18"/>
      <c r="B113" s="55"/>
      <c r="C113" s="19"/>
      <c r="D113" s="19"/>
      <c r="E113" s="19"/>
      <c r="F113" s="19"/>
      <c r="G113" s="23"/>
      <c r="H113" s="19"/>
      <c r="I113" s="45"/>
      <c r="J113" s="27"/>
      <c r="K113" s="47"/>
      <c r="L113" s="19"/>
      <c r="M113" s="19"/>
      <c r="N113" s="19"/>
      <c r="O113" s="19"/>
      <c r="P113" s="19"/>
    </row>
    <row r="114" spans="1:16" ht="20.100000000000001" customHeight="1" x14ac:dyDescent="0.25">
      <c r="A114" s="18"/>
      <c r="B114" s="55"/>
      <c r="C114" s="19"/>
      <c r="D114" s="19"/>
      <c r="E114" s="19"/>
      <c r="F114" s="19"/>
      <c r="G114" s="23"/>
      <c r="H114" s="19"/>
      <c r="I114" s="45"/>
      <c r="J114" s="27"/>
      <c r="K114" s="47"/>
      <c r="L114" s="19"/>
      <c r="M114" s="19"/>
      <c r="N114" s="19"/>
      <c r="O114" s="19"/>
      <c r="P114" s="19"/>
    </row>
    <row r="115" spans="1:16" ht="20.100000000000001" customHeight="1" x14ac:dyDescent="0.25">
      <c r="A115" s="18"/>
      <c r="B115" s="55"/>
      <c r="C115" s="19"/>
      <c r="D115" s="19"/>
      <c r="E115" s="19"/>
      <c r="F115" s="19"/>
      <c r="G115" s="23"/>
      <c r="H115" s="19"/>
      <c r="I115" s="45"/>
      <c r="J115" s="27"/>
      <c r="K115" s="47"/>
      <c r="L115" s="19"/>
      <c r="M115" s="19"/>
      <c r="N115" s="19"/>
      <c r="O115" s="19"/>
      <c r="P115" s="19"/>
    </row>
    <row r="116" spans="1:16" ht="20.100000000000001" customHeight="1" x14ac:dyDescent="0.25">
      <c r="A116" s="18"/>
      <c r="B116" s="55"/>
      <c r="C116" s="19"/>
      <c r="D116" s="19"/>
      <c r="E116" s="19"/>
      <c r="F116" s="19"/>
      <c r="G116" s="23"/>
      <c r="H116" s="19"/>
      <c r="I116" s="45"/>
      <c r="J116" s="27"/>
      <c r="K116" s="47"/>
      <c r="L116" s="19"/>
      <c r="M116" s="19"/>
      <c r="N116" s="19"/>
      <c r="O116" s="19"/>
      <c r="P116" s="19"/>
    </row>
    <row r="117" spans="1:16" ht="20.100000000000001" customHeight="1" x14ac:dyDescent="0.25">
      <c r="A117" s="18"/>
      <c r="B117" s="55"/>
      <c r="C117" s="19"/>
      <c r="D117" s="19"/>
      <c r="E117" s="19"/>
      <c r="F117" s="19"/>
      <c r="G117" s="23"/>
      <c r="H117" s="19"/>
      <c r="I117" s="45"/>
      <c r="J117" s="27"/>
      <c r="K117" s="47"/>
      <c r="L117" s="19"/>
      <c r="M117" s="19"/>
      <c r="N117" s="19"/>
      <c r="O117" s="19"/>
      <c r="P117" s="19"/>
    </row>
    <row r="118" spans="1:16" ht="20.100000000000001" customHeight="1" x14ac:dyDescent="0.25">
      <c r="A118" s="18"/>
      <c r="B118" s="55"/>
      <c r="C118" s="19"/>
      <c r="D118" s="19"/>
      <c r="E118" s="19"/>
      <c r="F118" s="19"/>
      <c r="G118" s="23"/>
      <c r="H118" s="19"/>
      <c r="I118" s="27"/>
      <c r="J118" s="27"/>
      <c r="K118" s="19"/>
      <c r="L118" s="19"/>
      <c r="M118" s="19"/>
      <c r="N118" s="19"/>
      <c r="O118" s="19"/>
      <c r="P118" s="19"/>
    </row>
    <row r="119" spans="1:16" ht="20.100000000000001" customHeight="1" x14ac:dyDescent="0.25">
      <c r="A119" s="18"/>
      <c r="B119" s="55"/>
      <c r="C119" s="19"/>
      <c r="D119" s="19"/>
      <c r="E119" s="19"/>
      <c r="F119" s="19"/>
      <c r="G119" s="23"/>
      <c r="H119" s="19"/>
      <c r="I119" s="27"/>
      <c r="J119" s="27"/>
      <c r="K119" s="19"/>
      <c r="L119" s="19"/>
      <c r="M119" s="19"/>
      <c r="N119" s="19"/>
      <c r="O119" s="19"/>
      <c r="P119" s="19"/>
    </row>
    <row r="120" spans="1:16" ht="20.100000000000001" customHeight="1" x14ac:dyDescent="0.25">
      <c r="A120" s="18"/>
      <c r="B120" s="55"/>
      <c r="C120" s="19"/>
      <c r="D120" s="19"/>
      <c r="E120" s="19"/>
      <c r="F120" s="19"/>
      <c r="G120" s="23"/>
      <c r="H120" s="19"/>
      <c r="I120" s="27"/>
      <c r="J120" s="27"/>
      <c r="K120" s="19"/>
      <c r="L120" s="19"/>
      <c r="M120" s="19"/>
      <c r="N120" s="19"/>
      <c r="O120" s="19"/>
      <c r="P120" s="19"/>
    </row>
    <row r="121" spans="1:16" ht="20.100000000000001" customHeight="1" x14ac:dyDescent="0.25">
      <c r="A121" s="18"/>
      <c r="B121" s="55"/>
      <c r="C121" s="19"/>
      <c r="D121" s="19"/>
      <c r="E121" s="19"/>
      <c r="F121" s="19"/>
      <c r="G121" s="23"/>
      <c r="H121" s="19"/>
      <c r="I121" s="27"/>
      <c r="J121" s="27"/>
      <c r="K121" s="19"/>
      <c r="L121" s="19"/>
      <c r="M121" s="19"/>
      <c r="N121" s="19"/>
      <c r="O121" s="19"/>
      <c r="P121" s="19"/>
    </row>
    <row r="122" spans="1:16" ht="20.100000000000001" customHeight="1" x14ac:dyDescent="0.25">
      <c r="A122" s="18"/>
      <c r="B122" s="55"/>
      <c r="C122" s="19"/>
      <c r="D122" s="19"/>
      <c r="E122" s="19"/>
      <c r="F122" s="19"/>
      <c r="G122" s="23"/>
      <c r="H122" s="19"/>
      <c r="I122" s="27"/>
      <c r="J122" s="27"/>
      <c r="K122" s="19"/>
      <c r="L122" s="19"/>
      <c r="M122" s="19"/>
      <c r="N122" s="19"/>
      <c r="O122" s="19"/>
      <c r="P122" s="19"/>
    </row>
    <row r="123" spans="1:16" ht="20.100000000000001" customHeight="1" x14ac:dyDescent="0.25">
      <c r="A123" s="18"/>
      <c r="B123" s="55"/>
      <c r="C123" s="19"/>
      <c r="D123" s="19"/>
      <c r="E123" s="19"/>
      <c r="F123" s="19"/>
      <c r="G123" s="23"/>
      <c r="H123" s="19"/>
      <c r="I123" s="27"/>
      <c r="J123" s="27"/>
      <c r="K123" s="19"/>
      <c r="L123" s="19"/>
      <c r="M123" s="19"/>
      <c r="N123" s="19"/>
      <c r="O123" s="19"/>
      <c r="P123" s="19"/>
    </row>
    <row r="124" spans="1:16" ht="20.100000000000001" customHeight="1" x14ac:dyDescent="0.25">
      <c r="A124" s="18"/>
      <c r="B124" s="55"/>
      <c r="C124" s="19"/>
      <c r="D124" s="19"/>
      <c r="E124" s="19"/>
      <c r="F124" s="19"/>
      <c r="G124" s="23"/>
      <c r="H124" s="19"/>
      <c r="I124" s="27"/>
      <c r="J124" s="27"/>
      <c r="K124" s="19"/>
      <c r="L124" s="19"/>
      <c r="M124" s="19"/>
      <c r="N124" s="19"/>
      <c r="O124" s="19"/>
      <c r="P124" s="19"/>
    </row>
    <row r="125" spans="1:16" ht="20.100000000000001" customHeight="1" x14ac:dyDescent="0.25">
      <c r="A125" s="18"/>
      <c r="B125" s="55"/>
      <c r="C125" s="19"/>
      <c r="D125" s="19"/>
      <c r="E125" s="19"/>
      <c r="F125" s="19"/>
      <c r="G125" s="23"/>
      <c r="H125" s="19"/>
      <c r="I125" s="27"/>
      <c r="J125" s="27"/>
      <c r="K125" s="19"/>
      <c r="L125" s="19"/>
      <c r="M125" s="19"/>
      <c r="N125" s="19"/>
      <c r="O125" s="19"/>
      <c r="P125" s="19"/>
    </row>
    <row r="126" spans="1:16" ht="20.100000000000001" customHeight="1" x14ac:dyDescent="0.25">
      <c r="A126" s="18"/>
      <c r="B126" s="55"/>
      <c r="C126" s="19"/>
      <c r="D126" s="19"/>
      <c r="E126" s="19"/>
      <c r="F126" s="19"/>
      <c r="G126" s="23"/>
      <c r="H126" s="19"/>
      <c r="I126" s="27"/>
      <c r="J126" s="27"/>
      <c r="K126" s="19"/>
      <c r="L126" s="19"/>
      <c r="M126" s="19"/>
      <c r="N126" s="19"/>
      <c r="O126" s="19"/>
      <c r="P126" s="19"/>
    </row>
    <row r="127" spans="1:16" ht="20.100000000000001" customHeight="1" x14ac:dyDescent="0.25">
      <c r="A127" s="18"/>
      <c r="B127" s="55"/>
      <c r="C127" s="19"/>
      <c r="D127" s="19"/>
      <c r="E127" s="19"/>
      <c r="F127" s="19"/>
      <c r="G127" s="23"/>
      <c r="H127" s="19"/>
      <c r="I127" s="27"/>
      <c r="J127" s="27"/>
      <c r="K127" s="19"/>
      <c r="L127" s="19"/>
      <c r="M127" s="19"/>
      <c r="N127" s="19"/>
      <c r="O127" s="19"/>
      <c r="P127" s="19"/>
    </row>
    <row r="128" spans="1:16" ht="20.100000000000001" customHeight="1" x14ac:dyDescent="0.25">
      <c r="A128" s="18"/>
      <c r="B128" s="55"/>
      <c r="C128" s="19"/>
      <c r="D128" s="19"/>
      <c r="E128" s="19"/>
      <c r="F128" s="19"/>
      <c r="G128" s="23"/>
      <c r="H128" s="19"/>
      <c r="I128" s="27"/>
      <c r="J128" s="27"/>
      <c r="K128" s="19"/>
      <c r="L128" s="19"/>
      <c r="M128" s="19"/>
      <c r="N128" s="19"/>
      <c r="O128" s="19"/>
      <c r="P128" s="19"/>
    </row>
    <row r="129" spans="1:16" ht="20.100000000000001" customHeight="1" x14ac:dyDescent="0.25">
      <c r="A129" s="18"/>
      <c r="B129" s="55"/>
      <c r="C129" s="19"/>
      <c r="D129" s="19"/>
      <c r="E129" s="19"/>
      <c r="F129" s="19"/>
      <c r="G129" s="23"/>
      <c r="H129" s="19"/>
      <c r="I129" s="27"/>
      <c r="J129" s="27"/>
      <c r="K129" s="19"/>
      <c r="L129" s="19"/>
      <c r="M129" s="19"/>
      <c r="N129" s="19"/>
      <c r="O129" s="19"/>
      <c r="P129" s="19"/>
    </row>
    <row r="130" spans="1:16" ht="20.100000000000001" customHeight="1" x14ac:dyDescent="0.25">
      <c r="A130" s="18"/>
      <c r="B130" s="55"/>
      <c r="C130" s="19"/>
      <c r="D130" s="19"/>
      <c r="E130" s="19"/>
      <c r="F130" s="19"/>
      <c r="G130" s="23"/>
      <c r="H130" s="19"/>
      <c r="I130" s="27"/>
      <c r="J130" s="27"/>
      <c r="K130" s="19"/>
      <c r="L130" s="19"/>
      <c r="M130" s="19"/>
      <c r="N130" s="19"/>
      <c r="O130" s="19"/>
      <c r="P130" s="19"/>
    </row>
    <row r="131" spans="1:16" ht="20.100000000000001" customHeight="1" x14ac:dyDescent="0.25">
      <c r="A131" s="18"/>
      <c r="B131" s="55"/>
      <c r="C131" s="19"/>
      <c r="D131" s="19"/>
      <c r="E131" s="19"/>
      <c r="F131" s="19"/>
      <c r="G131" s="23"/>
      <c r="H131" s="19"/>
      <c r="I131" s="27"/>
      <c r="J131" s="27"/>
      <c r="K131" s="19"/>
      <c r="L131" s="19"/>
      <c r="M131" s="19"/>
      <c r="N131" s="19"/>
      <c r="O131" s="19"/>
      <c r="P131" s="19"/>
    </row>
    <row r="132" spans="1:16" ht="20.100000000000001" customHeight="1" x14ac:dyDescent="0.25">
      <c r="A132" s="18"/>
      <c r="B132" s="55"/>
      <c r="C132" s="19"/>
      <c r="D132" s="19"/>
      <c r="E132" s="19"/>
      <c r="F132" s="19"/>
      <c r="G132" s="23"/>
      <c r="H132" s="19"/>
      <c r="I132" s="27"/>
      <c r="J132" s="27"/>
      <c r="K132" s="19"/>
      <c r="L132" s="19"/>
      <c r="M132" s="19"/>
      <c r="N132" s="19"/>
      <c r="O132" s="19"/>
      <c r="P132" s="19"/>
    </row>
    <row r="133" spans="1:16" ht="20.100000000000001" customHeight="1" x14ac:dyDescent="0.25">
      <c r="A133" s="18"/>
      <c r="B133" s="55"/>
      <c r="C133" s="19"/>
      <c r="D133" s="19"/>
      <c r="E133" s="19"/>
      <c r="F133" s="19"/>
      <c r="G133" s="23"/>
      <c r="H133" s="19"/>
      <c r="I133" s="27"/>
      <c r="J133" s="27"/>
      <c r="K133" s="19"/>
      <c r="L133" s="19"/>
      <c r="M133" s="19"/>
      <c r="N133" s="19"/>
      <c r="O133" s="19"/>
      <c r="P133" s="19"/>
    </row>
    <row r="134" spans="1:16" ht="20.100000000000001" customHeight="1" x14ac:dyDescent="0.25">
      <c r="A134" s="18"/>
      <c r="B134" s="55"/>
      <c r="C134" s="19"/>
      <c r="D134" s="19"/>
      <c r="E134" s="19"/>
      <c r="F134" s="19"/>
      <c r="G134" s="23"/>
      <c r="H134" s="19"/>
      <c r="I134" s="27"/>
      <c r="J134" s="27"/>
      <c r="K134" s="19"/>
      <c r="L134" s="19"/>
      <c r="M134" s="19"/>
      <c r="N134" s="19"/>
      <c r="O134" s="19"/>
      <c r="P134" s="19"/>
    </row>
    <row r="135" spans="1:16" ht="20.100000000000001" customHeight="1" x14ac:dyDescent="0.25">
      <c r="A135" s="18"/>
      <c r="B135" s="55"/>
      <c r="C135" s="19"/>
      <c r="D135" s="19"/>
      <c r="E135" s="19"/>
      <c r="F135" s="19"/>
      <c r="G135" s="23"/>
      <c r="H135" s="19"/>
      <c r="I135" s="27"/>
      <c r="J135" s="27"/>
      <c r="K135" s="19"/>
      <c r="L135" s="19"/>
      <c r="M135" s="19"/>
      <c r="N135" s="19"/>
      <c r="O135" s="19"/>
      <c r="P135" s="19"/>
    </row>
    <row r="136" spans="1:16" ht="20.100000000000001" customHeight="1" x14ac:dyDescent="0.25">
      <c r="A136" s="18"/>
      <c r="B136" s="55"/>
      <c r="C136" s="19"/>
      <c r="D136" s="19"/>
      <c r="E136" s="19"/>
      <c r="F136" s="19"/>
      <c r="G136" s="23"/>
      <c r="H136" s="19"/>
      <c r="I136" s="27"/>
      <c r="J136" s="27"/>
      <c r="K136" s="19"/>
      <c r="L136" s="19"/>
      <c r="M136" s="19"/>
      <c r="N136" s="19"/>
      <c r="O136" s="19"/>
      <c r="P136" s="19"/>
    </row>
    <row r="137" spans="1:16" ht="20.100000000000001" customHeight="1" x14ac:dyDescent="0.25">
      <c r="A137" s="18"/>
      <c r="B137" s="55"/>
      <c r="C137" s="19"/>
      <c r="D137" s="19"/>
      <c r="E137" s="19"/>
      <c r="F137" s="19"/>
      <c r="G137" s="23"/>
      <c r="H137" s="19"/>
      <c r="I137" s="27"/>
      <c r="J137" s="27"/>
      <c r="K137" s="19"/>
      <c r="L137" s="19"/>
      <c r="M137" s="19"/>
      <c r="N137" s="19"/>
      <c r="O137" s="19"/>
      <c r="P137" s="19"/>
    </row>
    <row r="138" spans="1:16" ht="20.100000000000001" customHeight="1" x14ac:dyDescent="0.25">
      <c r="A138" s="18"/>
      <c r="B138" s="55"/>
      <c r="C138" s="19"/>
      <c r="D138" s="19"/>
      <c r="E138" s="19"/>
      <c r="F138" s="19"/>
      <c r="G138" s="23"/>
      <c r="H138" s="19"/>
      <c r="I138" s="27"/>
      <c r="J138" s="27"/>
      <c r="K138" s="19"/>
      <c r="L138" s="19"/>
      <c r="M138" s="19"/>
      <c r="N138" s="19"/>
      <c r="O138" s="19"/>
      <c r="P138" s="19"/>
    </row>
    <row r="139" spans="1:16" ht="20.100000000000001" customHeight="1" x14ac:dyDescent="0.25">
      <c r="A139" s="18"/>
      <c r="B139" s="55"/>
      <c r="C139" s="19"/>
      <c r="D139" s="19"/>
      <c r="E139" s="19"/>
      <c r="F139" s="19"/>
      <c r="G139" s="23"/>
      <c r="H139" s="19"/>
      <c r="I139" s="27"/>
      <c r="J139" s="27"/>
      <c r="K139" s="19"/>
      <c r="L139" s="19"/>
      <c r="M139" s="19"/>
      <c r="N139" s="19"/>
      <c r="O139" s="19"/>
      <c r="P139" s="19"/>
    </row>
    <row r="140" spans="1:16" ht="20.100000000000001" customHeight="1" x14ac:dyDescent="0.25">
      <c r="A140" s="18"/>
      <c r="B140" s="55"/>
      <c r="C140" s="19"/>
      <c r="D140" s="19"/>
      <c r="E140" s="19"/>
      <c r="F140" s="19"/>
      <c r="G140" s="23"/>
      <c r="H140" s="19"/>
      <c r="I140" s="27"/>
      <c r="J140" s="27"/>
      <c r="K140" s="19"/>
      <c r="L140" s="19"/>
      <c r="M140" s="19"/>
      <c r="N140" s="19"/>
      <c r="O140" s="19"/>
      <c r="P140" s="19"/>
    </row>
    <row r="141" spans="1:16" ht="20.100000000000001" customHeight="1" x14ac:dyDescent="0.25">
      <c r="A141" s="18"/>
      <c r="B141" s="55"/>
      <c r="C141" s="19"/>
      <c r="D141" s="19"/>
      <c r="E141" s="19"/>
      <c r="F141" s="19"/>
      <c r="G141" s="23"/>
      <c r="H141" s="19"/>
      <c r="I141" s="27"/>
      <c r="J141" s="27"/>
      <c r="K141" s="19"/>
      <c r="L141" s="19"/>
      <c r="M141" s="19"/>
      <c r="N141" s="19"/>
      <c r="O141" s="19"/>
      <c r="P141" s="19"/>
    </row>
    <row r="142" spans="1:16" ht="20.100000000000001" customHeight="1" x14ac:dyDescent="0.25">
      <c r="A142" s="18"/>
      <c r="B142" s="55"/>
      <c r="C142" s="19"/>
      <c r="D142" s="19"/>
      <c r="E142" s="19"/>
      <c r="F142" s="19"/>
      <c r="G142" s="23"/>
      <c r="H142" s="19"/>
      <c r="I142" s="27"/>
      <c r="J142" s="27"/>
      <c r="K142" s="19"/>
      <c r="L142" s="19"/>
      <c r="M142" s="19"/>
      <c r="N142" s="19"/>
      <c r="O142" s="19"/>
      <c r="P142" s="19"/>
    </row>
    <row r="143" spans="1:16" ht="20.100000000000001" customHeight="1" x14ac:dyDescent="0.25">
      <c r="A143" s="18"/>
      <c r="B143" s="55"/>
      <c r="C143" s="19"/>
      <c r="D143" s="19"/>
      <c r="E143" s="19"/>
      <c r="F143" s="19"/>
      <c r="G143" s="23"/>
      <c r="H143" s="19"/>
      <c r="I143" s="27"/>
      <c r="J143" s="27"/>
      <c r="K143" s="19"/>
      <c r="L143" s="19"/>
      <c r="M143" s="19"/>
      <c r="N143" s="19"/>
      <c r="O143" s="19"/>
      <c r="P143" s="19"/>
    </row>
    <row r="144" spans="1:16" ht="20.100000000000001" customHeight="1" x14ac:dyDescent="0.25">
      <c r="A144" s="18"/>
      <c r="B144" s="55"/>
      <c r="C144" s="19"/>
      <c r="D144" s="19"/>
      <c r="E144" s="19"/>
      <c r="F144" s="19"/>
      <c r="G144" s="23"/>
      <c r="H144" s="19"/>
      <c r="I144" s="27"/>
      <c r="J144" s="27"/>
      <c r="K144" s="19"/>
      <c r="L144" s="19"/>
      <c r="M144" s="19"/>
      <c r="N144" s="19"/>
      <c r="O144" s="19"/>
      <c r="P144" s="19"/>
    </row>
    <row r="145" spans="1:16" ht="20.100000000000001" customHeight="1" x14ac:dyDescent="0.25">
      <c r="A145" s="18"/>
      <c r="B145" s="55"/>
      <c r="C145" s="19"/>
      <c r="D145" s="19"/>
      <c r="E145" s="19"/>
      <c r="F145" s="19"/>
      <c r="G145" s="23"/>
      <c r="H145" s="19"/>
      <c r="I145" s="27"/>
      <c r="J145" s="27"/>
      <c r="K145" s="19"/>
      <c r="L145" s="19"/>
      <c r="M145" s="19"/>
      <c r="N145" s="19"/>
      <c r="O145" s="19"/>
      <c r="P145" s="19"/>
    </row>
    <row r="146" spans="1:16" ht="20.100000000000001" customHeight="1" x14ac:dyDescent="0.25">
      <c r="A146" s="18"/>
      <c r="B146" s="55"/>
      <c r="C146" s="19"/>
      <c r="D146" s="19"/>
      <c r="E146" s="19"/>
      <c r="F146" s="19"/>
      <c r="G146" s="23"/>
      <c r="H146" s="19"/>
      <c r="I146" s="27"/>
      <c r="J146" s="27"/>
      <c r="K146" s="19"/>
      <c r="L146" s="19"/>
      <c r="M146" s="19"/>
      <c r="N146" s="19"/>
      <c r="O146" s="19"/>
      <c r="P146" s="19"/>
    </row>
    <row r="147" spans="1:16" ht="20.100000000000001" customHeight="1" x14ac:dyDescent="0.25">
      <c r="A147" s="18"/>
      <c r="B147" s="55"/>
      <c r="C147" s="19"/>
      <c r="D147" s="19"/>
      <c r="E147" s="19"/>
      <c r="F147" s="19"/>
      <c r="G147" s="23"/>
      <c r="H147" s="19"/>
      <c r="I147" s="27"/>
      <c r="J147" s="27"/>
      <c r="K147" s="19"/>
      <c r="L147" s="19"/>
      <c r="M147" s="19"/>
      <c r="N147" s="19"/>
      <c r="O147" s="19"/>
      <c r="P147" s="19"/>
    </row>
    <row r="148" spans="1:16" ht="20.100000000000001" customHeight="1" x14ac:dyDescent="0.25">
      <c r="A148" s="18"/>
      <c r="B148" s="55"/>
      <c r="C148" s="19"/>
      <c r="D148" s="19"/>
      <c r="E148" s="19"/>
      <c r="F148" s="19"/>
      <c r="G148" s="23"/>
      <c r="H148" s="19"/>
      <c r="I148" s="27"/>
      <c r="J148" s="27"/>
      <c r="K148" s="19"/>
      <c r="L148" s="19"/>
      <c r="M148" s="19"/>
      <c r="N148" s="19"/>
      <c r="O148" s="19"/>
      <c r="P148" s="19"/>
    </row>
    <row r="149" spans="1:16" ht="20.100000000000001" customHeight="1" x14ac:dyDescent="0.25">
      <c r="A149" s="18"/>
      <c r="B149" s="55"/>
      <c r="C149" s="19"/>
      <c r="D149" s="19"/>
      <c r="E149" s="19"/>
      <c r="F149" s="19"/>
      <c r="G149" s="23"/>
      <c r="H149" s="19"/>
      <c r="I149" s="27"/>
      <c r="J149" s="27"/>
      <c r="K149" s="19"/>
      <c r="L149" s="19"/>
      <c r="M149" s="19"/>
      <c r="N149" s="19"/>
      <c r="O149" s="19"/>
      <c r="P149" s="19"/>
    </row>
    <row r="150" spans="1:16" ht="20.100000000000001" customHeight="1" x14ac:dyDescent="0.25">
      <c r="A150" s="18"/>
      <c r="B150" s="55"/>
      <c r="C150" s="19"/>
      <c r="D150" s="19"/>
      <c r="E150" s="19"/>
      <c r="F150" s="19"/>
      <c r="G150" s="23"/>
      <c r="H150" s="19"/>
      <c r="I150" s="27"/>
      <c r="J150" s="27"/>
      <c r="K150" s="19"/>
      <c r="L150" s="19"/>
      <c r="M150" s="19"/>
      <c r="N150" s="19"/>
      <c r="O150" s="19"/>
      <c r="P150" s="19"/>
    </row>
    <row r="151" spans="1:16" ht="20.100000000000001" customHeight="1" x14ac:dyDescent="0.25">
      <c r="A151" s="18"/>
      <c r="B151" s="55"/>
      <c r="C151" s="19"/>
      <c r="D151" s="19"/>
      <c r="E151" s="19"/>
      <c r="F151" s="19"/>
      <c r="G151" s="23"/>
      <c r="H151" s="19"/>
      <c r="I151" s="27"/>
      <c r="J151" s="27"/>
      <c r="K151" s="19"/>
      <c r="L151" s="19"/>
      <c r="M151" s="19"/>
      <c r="N151" s="19"/>
      <c r="O151" s="19"/>
      <c r="P151" s="19"/>
    </row>
    <row r="152" spans="1:16" ht="20.100000000000001" customHeight="1" x14ac:dyDescent="0.25">
      <c r="A152" s="18"/>
      <c r="B152" s="55"/>
      <c r="C152" s="19"/>
      <c r="D152" s="19"/>
      <c r="E152" s="19"/>
      <c r="F152" s="19"/>
      <c r="G152" s="23"/>
      <c r="H152" s="19"/>
      <c r="I152" s="27"/>
      <c r="J152" s="27"/>
      <c r="K152" s="19"/>
      <c r="L152" s="19"/>
      <c r="M152" s="19"/>
      <c r="N152" s="19"/>
      <c r="O152" s="19"/>
      <c r="P152" s="19"/>
    </row>
    <row r="153" spans="1:16" ht="20.100000000000001" customHeight="1" x14ac:dyDescent="0.25">
      <c r="A153" s="18"/>
      <c r="B153" s="55"/>
      <c r="C153" s="19"/>
      <c r="D153" s="19"/>
      <c r="E153" s="19"/>
      <c r="F153" s="19"/>
      <c r="G153" s="23"/>
      <c r="H153" s="19"/>
      <c r="I153" s="27"/>
      <c r="J153" s="27"/>
      <c r="K153" s="19"/>
      <c r="L153" s="19"/>
      <c r="M153" s="19"/>
      <c r="N153" s="19"/>
      <c r="O153" s="19"/>
      <c r="P153" s="19"/>
    </row>
    <row r="154" spans="1:16" ht="20.100000000000001" customHeight="1" x14ac:dyDescent="0.25">
      <c r="A154" s="18"/>
      <c r="B154" s="55"/>
      <c r="C154" s="19"/>
      <c r="D154" s="19"/>
      <c r="E154" s="19"/>
      <c r="F154" s="19"/>
      <c r="G154" s="23"/>
      <c r="H154" s="19"/>
      <c r="I154" s="27"/>
      <c r="J154" s="27"/>
      <c r="K154" s="19"/>
      <c r="L154" s="19"/>
      <c r="M154" s="19"/>
      <c r="N154" s="19"/>
      <c r="O154" s="19"/>
      <c r="P154" s="19"/>
    </row>
    <row r="155" spans="1:16" ht="20.100000000000001" customHeight="1" x14ac:dyDescent="0.25">
      <c r="A155" s="18"/>
      <c r="B155" s="55"/>
      <c r="C155" s="19"/>
      <c r="D155" s="19"/>
      <c r="E155" s="19"/>
      <c r="F155" s="19"/>
      <c r="G155" s="23"/>
      <c r="H155" s="19"/>
      <c r="I155" s="27"/>
      <c r="J155" s="27"/>
      <c r="K155" s="19"/>
      <c r="L155" s="19"/>
      <c r="M155" s="19"/>
      <c r="N155" s="19"/>
      <c r="O155" s="19"/>
      <c r="P155" s="19"/>
    </row>
    <row r="156" spans="1:16" ht="20.100000000000001" customHeight="1" x14ac:dyDescent="0.25">
      <c r="A156" s="18"/>
      <c r="B156" s="55"/>
      <c r="C156" s="19"/>
      <c r="D156" s="19"/>
      <c r="E156" s="19"/>
      <c r="F156" s="19"/>
      <c r="G156" s="23"/>
      <c r="H156" s="19"/>
      <c r="I156" s="27"/>
      <c r="J156" s="27"/>
      <c r="K156" s="19"/>
      <c r="L156" s="19"/>
      <c r="M156" s="19"/>
      <c r="N156" s="19"/>
      <c r="O156" s="19"/>
      <c r="P156" s="19"/>
    </row>
    <row r="157" spans="1:16" ht="20.100000000000001" customHeight="1" x14ac:dyDescent="0.25">
      <c r="A157" s="18"/>
      <c r="B157" s="55"/>
      <c r="C157" s="19"/>
      <c r="D157" s="19"/>
      <c r="E157" s="19"/>
      <c r="F157" s="19"/>
      <c r="G157" s="23"/>
      <c r="H157" s="19"/>
      <c r="I157" s="27"/>
      <c r="J157" s="27"/>
      <c r="K157" s="19"/>
      <c r="L157" s="19"/>
      <c r="M157" s="19"/>
      <c r="N157" s="19"/>
      <c r="O157" s="19"/>
      <c r="P157" s="19"/>
    </row>
    <row r="158" spans="1:16" ht="20.100000000000001" customHeight="1" x14ac:dyDescent="0.25">
      <c r="A158" s="18"/>
      <c r="B158" s="55"/>
      <c r="C158" s="19"/>
      <c r="D158" s="19"/>
      <c r="E158" s="19"/>
      <c r="F158" s="19"/>
      <c r="G158" s="23"/>
      <c r="H158" s="19"/>
      <c r="I158" s="27"/>
      <c r="J158" s="27"/>
      <c r="K158" s="19"/>
      <c r="L158" s="19"/>
      <c r="M158" s="19"/>
      <c r="N158" s="19"/>
      <c r="O158" s="19"/>
      <c r="P158" s="19"/>
    </row>
    <row r="159" spans="1:16" ht="20.100000000000001" customHeight="1" x14ac:dyDescent="0.25">
      <c r="A159" s="18"/>
      <c r="B159" s="55"/>
      <c r="C159" s="19"/>
      <c r="D159" s="19"/>
      <c r="E159" s="19"/>
      <c r="F159" s="19"/>
      <c r="G159" s="23"/>
      <c r="H159" s="19"/>
      <c r="I159" s="27"/>
      <c r="J159" s="27"/>
      <c r="K159" s="19"/>
      <c r="L159" s="19"/>
      <c r="M159" s="19"/>
      <c r="N159" s="19"/>
      <c r="O159" s="19"/>
      <c r="P159" s="19"/>
    </row>
    <row r="160" spans="1:16" ht="20.100000000000001" customHeight="1" x14ac:dyDescent="0.25">
      <c r="A160" s="18"/>
      <c r="B160" s="55"/>
      <c r="C160" s="19"/>
      <c r="D160" s="19"/>
      <c r="E160" s="19"/>
      <c r="F160" s="19"/>
      <c r="G160" s="23"/>
      <c r="H160" s="19"/>
      <c r="I160" s="27"/>
      <c r="J160" s="27"/>
      <c r="K160" s="19"/>
      <c r="L160" s="19"/>
      <c r="M160" s="19"/>
      <c r="N160" s="19"/>
      <c r="O160" s="19"/>
      <c r="P160" s="19"/>
    </row>
    <row r="161" spans="1:16" ht="20.100000000000001" customHeight="1" x14ac:dyDescent="0.25">
      <c r="A161" s="18"/>
      <c r="B161" s="55"/>
      <c r="C161" s="19"/>
      <c r="D161" s="19"/>
      <c r="E161" s="19"/>
      <c r="F161" s="19"/>
      <c r="G161" s="23"/>
      <c r="H161" s="19"/>
      <c r="I161" s="27"/>
      <c r="J161" s="27"/>
      <c r="K161" s="19"/>
      <c r="L161" s="19"/>
      <c r="M161" s="19"/>
      <c r="N161" s="19"/>
      <c r="O161" s="19"/>
      <c r="P161" s="19"/>
    </row>
    <row r="162" spans="1:16" ht="20.100000000000001" customHeight="1" x14ac:dyDescent="0.25">
      <c r="A162" s="18"/>
      <c r="B162" s="55"/>
      <c r="C162" s="19"/>
      <c r="D162" s="19"/>
      <c r="E162" s="19"/>
      <c r="F162" s="19"/>
      <c r="G162" s="23"/>
      <c r="H162" s="19"/>
      <c r="I162" s="27"/>
      <c r="J162" s="27"/>
      <c r="K162" s="19"/>
      <c r="L162" s="19"/>
      <c r="M162" s="19"/>
      <c r="N162" s="19"/>
      <c r="O162" s="19"/>
      <c r="P162" s="19"/>
    </row>
    <row r="163" spans="1:16" ht="20.100000000000001" customHeight="1" x14ac:dyDescent="0.25">
      <c r="A163" s="18"/>
      <c r="B163" s="55"/>
      <c r="C163" s="19"/>
      <c r="D163" s="19"/>
      <c r="E163" s="19"/>
      <c r="F163" s="19"/>
      <c r="G163" s="23"/>
      <c r="H163" s="19"/>
      <c r="I163" s="27"/>
      <c r="J163" s="27"/>
      <c r="K163" s="19"/>
      <c r="L163" s="19"/>
      <c r="M163" s="19"/>
      <c r="N163" s="19"/>
      <c r="O163" s="19"/>
      <c r="P163" s="19"/>
    </row>
    <row r="164" spans="1:16" ht="20.100000000000001" customHeight="1" x14ac:dyDescent="0.25">
      <c r="A164" s="18"/>
      <c r="B164" s="55"/>
      <c r="C164" s="19"/>
      <c r="D164" s="19"/>
      <c r="E164" s="19"/>
      <c r="F164" s="19"/>
      <c r="G164" s="23"/>
      <c r="H164" s="19"/>
      <c r="I164" s="27"/>
      <c r="J164" s="27"/>
      <c r="K164" s="19"/>
      <c r="L164" s="19"/>
      <c r="M164" s="19"/>
      <c r="N164" s="19"/>
      <c r="O164" s="19"/>
      <c r="P164" s="19"/>
    </row>
    <row r="165" spans="1:16" ht="20.100000000000001" customHeight="1" x14ac:dyDescent="0.25">
      <c r="A165" s="18"/>
      <c r="B165" s="55"/>
      <c r="C165" s="19"/>
      <c r="D165" s="19"/>
      <c r="E165" s="19"/>
      <c r="F165" s="19"/>
      <c r="G165" s="23"/>
      <c r="H165" s="19"/>
      <c r="I165" s="27"/>
      <c r="J165" s="27"/>
      <c r="K165" s="19"/>
      <c r="L165" s="19"/>
      <c r="M165" s="19"/>
      <c r="N165" s="19"/>
      <c r="O165" s="19"/>
      <c r="P165" s="19"/>
    </row>
    <row r="166" spans="1:16" ht="20.100000000000001" customHeight="1" x14ac:dyDescent="0.25">
      <c r="A166" s="18"/>
      <c r="B166" s="55"/>
      <c r="C166" s="19"/>
      <c r="D166" s="19"/>
      <c r="E166" s="19"/>
      <c r="F166" s="19"/>
      <c r="G166" s="23"/>
      <c r="H166" s="19"/>
      <c r="I166" s="27"/>
      <c r="J166" s="27"/>
      <c r="K166" s="19"/>
      <c r="L166" s="19"/>
      <c r="M166" s="19"/>
      <c r="N166" s="19"/>
      <c r="O166" s="19"/>
      <c r="P166" s="19"/>
    </row>
    <row r="167" spans="1:16" ht="20.100000000000001" customHeight="1" x14ac:dyDescent="0.25">
      <c r="A167" s="18"/>
      <c r="B167" s="55"/>
      <c r="C167" s="19"/>
      <c r="D167" s="19"/>
      <c r="E167" s="19"/>
      <c r="F167" s="19"/>
      <c r="G167" s="23"/>
      <c r="H167" s="19"/>
      <c r="I167" s="27"/>
      <c r="J167" s="27"/>
      <c r="K167" s="19"/>
      <c r="L167" s="19"/>
      <c r="M167" s="19"/>
      <c r="N167" s="19"/>
      <c r="O167" s="19"/>
      <c r="P167" s="19"/>
    </row>
    <row r="168" spans="1:16" ht="20.100000000000001" customHeight="1" x14ac:dyDescent="0.25">
      <c r="A168" s="18"/>
      <c r="B168" s="55"/>
      <c r="C168" s="19"/>
      <c r="D168" s="19"/>
      <c r="E168" s="19"/>
      <c r="F168" s="19"/>
      <c r="G168" s="23"/>
      <c r="H168" s="19"/>
      <c r="I168" s="27"/>
      <c r="J168" s="27"/>
      <c r="K168" s="19"/>
      <c r="L168" s="19"/>
      <c r="M168" s="19"/>
      <c r="N168" s="19"/>
      <c r="O168" s="19"/>
      <c r="P168" s="19"/>
    </row>
    <row r="169" spans="1:16" ht="20.100000000000001" customHeight="1" x14ac:dyDescent="0.25">
      <c r="A169" s="18"/>
      <c r="B169" s="55"/>
      <c r="C169" s="19"/>
      <c r="D169" s="19"/>
      <c r="E169" s="19"/>
      <c r="F169" s="19"/>
      <c r="G169" s="23"/>
      <c r="H169" s="19"/>
      <c r="I169" s="27"/>
      <c r="J169" s="27"/>
      <c r="K169" s="19"/>
      <c r="L169" s="19"/>
      <c r="M169" s="19"/>
      <c r="N169" s="19"/>
      <c r="O169" s="19"/>
      <c r="P169" s="19"/>
    </row>
    <row r="170" spans="1:16" ht="20.100000000000001" customHeight="1" x14ac:dyDescent="0.25">
      <c r="A170" s="18"/>
      <c r="B170" s="55"/>
      <c r="C170" s="19"/>
      <c r="D170" s="19"/>
      <c r="E170" s="19"/>
      <c r="F170" s="19"/>
      <c r="G170" s="23"/>
      <c r="H170" s="19"/>
      <c r="I170" s="27"/>
      <c r="J170" s="27"/>
      <c r="K170" s="19"/>
      <c r="L170" s="19"/>
      <c r="M170" s="19"/>
      <c r="N170" s="19"/>
      <c r="O170" s="19"/>
      <c r="P170" s="19"/>
    </row>
    <row r="171" spans="1:16" ht="20.100000000000001" customHeight="1" x14ac:dyDescent="0.25">
      <c r="A171" s="18"/>
      <c r="B171" s="55"/>
      <c r="C171" s="19"/>
      <c r="D171" s="19"/>
      <c r="E171" s="19"/>
      <c r="F171" s="19"/>
      <c r="G171" s="23"/>
      <c r="H171" s="19"/>
      <c r="I171" s="27"/>
      <c r="J171" s="27"/>
      <c r="K171" s="19"/>
      <c r="L171" s="19"/>
      <c r="M171" s="19"/>
      <c r="N171" s="19"/>
      <c r="O171" s="19"/>
      <c r="P171" s="19"/>
    </row>
    <row r="172" spans="1:16" ht="20.100000000000001" customHeight="1" x14ac:dyDescent="0.25">
      <c r="A172" s="18"/>
      <c r="B172" s="55"/>
      <c r="C172" s="19"/>
      <c r="D172" s="19"/>
      <c r="E172" s="19"/>
      <c r="F172" s="19"/>
      <c r="G172" s="23"/>
      <c r="H172" s="19"/>
      <c r="I172" s="27"/>
      <c r="J172" s="27"/>
      <c r="K172" s="19"/>
      <c r="L172" s="19"/>
      <c r="M172" s="19"/>
      <c r="N172" s="19"/>
      <c r="O172" s="19"/>
      <c r="P172" s="19"/>
    </row>
    <row r="173" spans="1:16" ht="20.100000000000001" customHeight="1" x14ac:dyDescent="0.25">
      <c r="A173" s="18"/>
      <c r="B173" s="55"/>
      <c r="C173" s="19"/>
      <c r="D173" s="19"/>
      <c r="E173" s="19"/>
      <c r="F173" s="19"/>
      <c r="G173" s="23"/>
      <c r="H173" s="19"/>
      <c r="I173" s="27"/>
      <c r="J173" s="27"/>
      <c r="K173" s="19"/>
      <c r="L173" s="19"/>
      <c r="M173" s="19"/>
      <c r="N173" s="19"/>
      <c r="O173" s="19"/>
      <c r="P173" s="19"/>
    </row>
    <row r="174" spans="1:16" ht="20.100000000000001" customHeight="1" x14ac:dyDescent="0.25">
      <c r="A174" s="18"/>
      <c r="B174" s="55"/>
      <c r="C174" s="19"/>
      <c r="D174" s="19"/>
      <c r="E174" s="19"/>
      <c r="F174" s="19"/>
      <c r="G174" s="23"/>
      <c r="H174" s="19"/>
      <c r="I174" s="27"/>
      <c r="J174" s="27"/>
      <c r="K174" s="19"/>
      <c r="L174" s="19"/>
      <c r="M174" s="19"/>
      <c r="N174" s="19"/>
      <c r="O174" s="19"/>
      <c r="P174" s="19"/>
    </row>
    <row r="175" spans="1:16" ht="20.100000000000001" customHeight="1" x14ac:dyDescent="0.25">
      <c r="A175" s="18"/>
      <c r="B175" s="55"/>
      <c r="C175" s="19"/>
      <c r="D175" s="19"/>
      <c r="E175" s="19"/>
      <c r="F175" s="19"/>
      <c r="G175" s="23"/>
      <c r="H175" s="19"/>
      <c r="I175" s="27"/>
      <c r="J175" s="27"/>
      <c r="K175" s="19"/>
      <c r="L175" s="19"/>
      <c r="M175" s="19"/>
      <c r="N175" s="19"/>
      <c r="O175" s="19"/>
      <c r="P175" s="19"/>
    </row>
    <row r="176" spans="1:16" ht="20.100000000000001" customHeight="1" x14ac:dyDescent="0.25">
      <c r="A176" s="18"/>
      <c r="B176" s="55"/>
      <c r="C176" s="19"/>
      <c r="D176" s="19"/>
      <c r="E176" s="19"/>
      <c r="F176" s="19"/>
      <c r="G176" s="23"/>
      <c r="H176" s="19"/>
      <c r="I176" s="27"/>
      <c r="J176" s="27"/>
      <c r="K176" s="19"/>
      <c r="L176" s="19"/>
      <c r="M176" s="19"/>
      <c r="N176" s="19"/>
      <c r="O176" s="19"/>
      <c r="P176" s="19"/>
    </row>
    <row r="177" spans="1:16" ht="20.100000000000001" customHeight="1" x14ac:dyDescent="0.25">
      <c r="A177" s="18"/>
      <c r="B177" s="55"/>
      <c r="C177" s="19"/>
      <c r="D177" s="19"/>
      <c r="E177" s="19"/>
      <c r="F177" s="19"/>
      <c r="G177" s="23"/>
      <c r="H177" s="19"/>
      <c r="I177" s="27"/>
      <c r="J177" s="27"/>
      <c r="K177" s="19"/>
      <c r="L177" s="19"/>
      <c r="M177" s="19"/>
      <c r="N177" s="19"/>
      <c r="O177" s="19"/>
      <c r="P177" s="19"/>
    </row>
    <row r="178" spans="1:16" ht="20.100000000000001" customHeight="1" x14ac:dyDescent="0.25">
      <c r="A178" s="18"/>
      <c r="B178" s="55"/>
      <c r="C178" s="19"/>
      <c r="D178" s="19"/>
      <c r="E178" s="19"/>
      <c r="F178" s="19"/>
      <c r="G178" s="23"/>
      <c r="H178" s="19"/>
      <c r="I178" s="27"/>
      <c r="J178" s="27"/>
      <c r="K178" s="19"/>
      <c r="L178" s="19"/>
      <c r="M178" s="19"/>
      <c r="N178" s="19"/>
      <c r="O178" s="19"/>
      <c r="P178" s="19"/>
    </row>
    <row r="179" spans="1:16" ht="20.100000000000001" customHeight="1" x14ac:dyDescent="0.25">
      <c r="A179" s="18"/>
      <c r="B179" s="55"/>
      <c r="C179" s="19"/>
      <c r="D179" s="19"/>
      <c r="E179" s="19"/>
      <c r="F179" s="19"/>
      <c r="G179" s="23"/>
      <c r="H179" s="19"/>
      <c r="I179" s="27"/>
      <c r="J179" s="27"/>
      <c r="K179" s="19"/>
      <c r="L179" s="19"/>
      <c r="M179" s="19"/>
      <c r="N179" s="19"/>
      <c r="O179" s="19"/>
      <c r="P179" s="19"/>
    </row>
    <row r="180" spans="1:16" ht="20.100000000000001" customHeight="1" x14ac:dyDescent="0.25">
      <c r="A180" s="18"/>
      <c r="B180" s="55"/>
      <c r="C180" s="19"/>
      <c r="D180" s="19"/>
      <c r="E180" s="19"/>
      <c r="F180" s="19"/>
      <c r="G180" s="23"/>
      <c r="H180" s="19"/>
      <c r="I180" s="27"/>
      <c r="J180" s="27"/>
      <c r="K180" s="19"/>
      <c r="L180" s="19"/>
      <c r="M180" s="19"/>
      <c r="N180" s="19"/>
      <c r="O180" s="19"/>
      <c r="P180" s="19"/>
    </row>
    <row r="181" spans="1:16" ht="20.100000000000001" customHeight="1" x14ac:dyDescent="0.25">
      <c r="A181" s="18"/>
      <c r="B181" s="55"/>
      <c r="C181" s="19"/>
      <c r="D181" s="19"/>
      <c r="E181" s="19"/>
      <c r="F181" s="19"/>
      <c r="G181" s="23"/>
      <c r="H181" s="19"/>
      <c r="I181" s="27"/>
      <c r="J181" s="27"/>
      <c r="K181" s="19"/>
      <c r="L181" s="19"/>
      <c r="M181" s="19"/>
      <c r="N181" s="19"/>
      <c r="O181" s="19"/>
      <c r="P181" s="19"/>
    </row>
    <row r="182" spans="1:16" ht="20.100000000000001" customHeight="1" x14ac:dyDescent="0.25">
      <c r="A182" s="18"/>
      <c r="B182" s="55"/>
      <c r="C182" s="19"/>
      <c r="D182" s="19"/>
      <c r="E182" s="19"/>
      <c r="F182" s="19"/>
      <c r="G182" s="23"/>
      <c r="H182" s="19"/>
      <c r="I182" s="27"/>
      <c r="J182" s="27"/>
      <c r="K182" s="19"/>
      <c r="L182" s="19"/>
      <c r="M182" s="19"/>
      <c r="N182" s="19"/>
      <c r="O182" s="19"/>
      <c r="P182" s="19"/>
    </row>
    <row r="183" spans="1:16" ht="20.100000000000001" customHeight="1" x14ac:dyDescent="0.25">
      <c r="A183" s="18"/>
      <c r="B183" s="55"/>
      <c r="C183" s="19"/>
      <c r="D183" s="19"/>
      <c r="E183" s="19"/>
      <c r="F183" s="19"/>
      <c r="G183" s="23"/>
      <c r="H183" s="19"/>
      <c r="I183" s="27"/>
      <c r="J183" s="27"/>
      <c r="K183" s="19"/>
      <c r="L183" s="19"/>
      <c r="M183" s="19"/>
      <c r="N183" s="19"/>
      <c r="O183" s="19"/>
      <c r="P183" s="19"/>
    </row>
    <row r="184" spans="1:16" ht="20.100000000000001" customHeight="1" x14ac:dyDescent="0.25">
      <c r="A184" s="18"/>
      <c r="B184" s="55"/>
      <c r="C184" s="19"/>
      <c r="D184" s="19"/>
      <c r="E184" s="19"/>
      <c r="F184" s="19"/>
      <c r="G184" s="23"/>
      <c r="H184" s="19"/>
      <c r="I184" s="27"/>
      <c r="J184" s="27"/>
      <c r="K184" s="19"/>
      <c r="L184" s="19"/>
      <c r="M184" s="19"/>
      <c r="N184" s="19"/>
      <c r="O184" s="19"/>
      <c r="P184" s="19"/>
    </row>
    <row r="185" spans="1:16" ht="20.100000000000001" customHeight="1" x14ac:dyDescent="0.25">
      <c r="A185" s="18"/>
      <c r="B185" s="55"/>
      <c r="C185" s="19"/>
      <c r="D185" s="19"/>
      <c r="E185" s="19"/>
      <c r="F185" s="19"/>
      <c r="G185" s="23"/>
      <c r="H185" s="19"/>
      <c r="I185" s="27"/>
      <c r="J185" s="27"/>
      <c r="K185" s="19"/>
      <c r="L185" s="19"/>
      <c r="M185" s="19"/>
      <c r="N185" s="19"/>
      <c r="O185" s="19"/>
      <c r="P185" s="19"/>
    </row>
    <row r="186" spans="1:16" ht="20.100000000000001" customHeight="1" x14ac:dyDescent="0.25">
      <c r="A186" s="18"/>
      <c r="B186" s="55"/>
      <c r="C186" s="19"/>
      <c r="D186" s="19"/>
      <c r="E186" s="19"/>
      <c r="F186" s="19"/>
      <c r="G186" s="23"/>
      <c r="H186" s="19"/>
      <c r="I186" s="27"/>
      <c r="J186" s="27"/>
      <c r="K186" s="19"/>
      <c r="L186" s="19"/>
      <c r="M186" s="19"/>
      <c r="N186" s="19"/>
      <c r="O186" s="19"/>
      <c r="P186" s="19"/>
    </row>
    <row r="187" spans="1:16" ht="20.100000000000001" customHeight="1" x14ac:dyDescent="0.25">
      <c r="A187" s="18"/>
      <c r="B187" s="55"/>
      <c r="C187" s="19"/>
      <c r="D187" s="19"/>
      <c r="E187" s="19"/>
      <c r="F187" s="19"/>
      <c r="G187" s="23"/>
      <c r="H187" s="19"/>
      <c r="I187" s="27"/>
      <c r="J187" s="27"/>
      <c r="K187" s="19"/>
      <c r="L187" s="19"/>
      <c r="M187" s="19"/>
      <c r="N187" s="19"/>
      <c r="O187" s="19"/>
      <c r="P187" s="19"/>
    </row>
    <row r="188" spans="1:16" ht="20.100000000000001" customHeight="1" x14ac:dyDescent="0.25">
      <c r="A188" s="18"/>
      <c r="B188" s="55"/>
      <c r="C188" s="19"/>
      <c r="D188" s="19"/>
      <c r="E188" s="19"/>
      <c r="F188" s="19"/>
      <c r="G188" s="23"/>
      <c r="H188" s="19"/>
      <c r="I188" s="27"/>
      <c r="J188" s="27"/>
      <c r="K188" s="19"/>
      <c r="L188" s="19"/>
      <c r="M188" s="19"/>
      <c r="N188" s="19"/>
      <c r="O188" s="19"/>
      <c r="P188" s="19"/>
    </row>
    <row r="189" spans="1:16" ht="20.100000000000001" customHeight="1" x14ac:dyDescent="0.25">
      <c r="A189" s="18"/>
      <c r="B189" s="55"/>
      <c r="C189" s="19"/>
      <c r="D189" s="19"/>
      <c r="E189" s="19"/>
      <c r="F189" s="19"/>
      <c r="G189" s="23"/>
      <c r="H189" s="19"/>
      <c r="I189" s="27"/>
      <c r="J189" s="27"/>
      <c r="K189" s="19"/>
      <c r="L189" s="19"/>
      <c r="M189" s="19"/>
      <c r="N189" s="19"/>
      <c r="O189" s="19"/>
      <c r="P189" s="19"/>
    </row>
    <row r="190" spans="1:16" ht="20.100000000000001" customHeight="1" x14ac:dyDescent="0.25">
      <c r="A190" s="18"/>
      <c r="B190" s="55"/>
      <c r="C190" s="19"/>
      <c r="D190" s="19"/>
      <c r="E190" s="19"/>
      <c r="F190" s="19"/>
      <c r="G190" s="23"/>
      <c r="H190" s="19"/>
      <c r="I190" s="27"/>
      <c r="J190" s="27"/>
      <c r="K190" s="19"/>
      <c r="L190" s="19"/>
      <c r="M190" s="19"/>
      <c r="N190" s="19"/>
      <c r="O190" s="19"/>
      <c r="P190" s="19"/>
    </row>
    <row r="191" spans="1:16" ht="20.100000000000001" customHeight="1" x14ac:dyDescent="0.25">
      <c r="A191" s="18"/>
      <c r="B191" s="55"/>
      <c r="C191" s="19"/>
      <c r="D191" s="19"/>
      <c r="E191" s="19"/>
      <c r="F191" s="19"/>
      <c r="G191" s="23"/>
      <c r="H191" s="19"/>
      <c r="I191" s="27"/>
      <c r="J191" s="27"/>
      <c r="K191" s="19"/>
      <c r="L191" s="19"/>
      <c r="M191" s="19"/>
      <c r="N191" s="19"/>
      <c r="O191" s="19"/>
      <c r="P191" s="19"/>
    </row>
    <row r="192" spans="1:16" ht="20.100000000000001" customHeight="1" x14ac:dyDescent="0.25">
      <c r="A192" s="18"/>
      <c r="B192" s="55"/>
      <c r="C192" s="19"/>
      <c r="D192" s="19"/>
      <c r="E192" s="19"/>
      <c r="F192" s="19"/>
      <c r="G192" s="23"/>
      <c r="H192" s="19"/>
      <c r="I192" s="27"/>
      <c r="J192" s="27"/>
      <c r="K192" s="19"/>
      <c r="L192" s="19"/>
      <c r="M192" s="19"/>
      <c r="N192" s="19"/>
      <c r="O192" s="19"/>
      <c r="P192" s="19"/>
    </row>
    <row r="193" spans="1:16" ht="20.100000000000001" customHeight="1" x14ac:dyDescent="0.25">
      <c r="A193" s="18"/>
      <c r="B193" s="55"/>
      <c r="C193" s="19"/>
      <c r="D193" s="19"/>
      <c r="E193" s="19"/>
      <c r="F193" s="19"/>
      <c r="G193" s="23"/>
      <c r="H193" s="19"/>
      <c r="I193" s="27"/>
      <c r="J193" s="27"/>
      <c r="K193" s="19"/>
      <c r="L193" s="19"/>
      <c r="M193" s="19"/>
      <c r="N193" s="19"/>
      <c r="O193" s="19"/>
      <c r="P193" s="19"/>
    </row>
    <row r="194" spans="1:16" ht="20.100000000000001" customHeight="1" x14ac:dyDescent="0.25">
      <c r="A194" s="18"/>
      <c r="B194" s="55"/>
      <c r="C194" s="19"/>
      <c r="D194" s="19"/>
      <c r="E194" s="19"/>
      <c r="F194" s="19"/>
      <c r="G194" s="23"/>
      <c r="H194" s="19"/>
      <c r="I194" s="27"/>
      <c r="J194" s="27"/>
      <c r="K194" s="19"/>
      <c r="L194" s="19"/>
      <c r="M194" s="19"/>
      <c r="N194" s="19"/>
      <c r="O194" s="19"/>
      <c r="P194" s="19"/>
    </row>
    <row r="195" spans="1:16" ht="20.100000000000001" customHeight="1" x14ac:dyDescent="0.25">
      <c r="A195" s="18"/>
      <c r="B195" s="55"/>
      <c r="C195" s="19"/>
      <c r="D195" s="19"/>
      <c r="E195" s="19"/>
      <c r="F195" s="19"/>
      <c r="G195" s="23"/>
      <c r="H195" s="19"/>
      <c r="I195" s="27"/>
      <c r="J195" s="27"/>
      <c r="K195" s="19"/>
      <c r="L195" s="19"/>
      <c r="M195" s="19"/>
      <c r="N195" s="19"/>
      <c r="O195" s="19"/>
      <c r="P195" s="19"/>
    </row>
    <row r="196" spans="1:16" ht="20.100000000000001" customHeight="1" x14ac:dyDescent="0.25">
      <c r="A196" s="18"/>
      <c r="B196" s="55"/>
      <c r="C196" s="19"/>
      <c r="D196" s="19"/>
      <c r="E196" s="19"/>
      <c r="F196" s="19"/>
      <c r="G196" s="23"/>
      <c r="H196" s="19"/>
      <c r="I196" s="27"/>
      <c r="J196" s="27"/>
      <c r="K196" s="19"/>
      <c r="L196" s="19"/>
      <c r="M196" s="19"/>
      <c r="N196" s="19"/>
      <c r="O196" s="19"/>
      <c r="P196" s="19"/>
    </row>
    <row r="197" spans="1:16" ht="20.100000000000001" customHeight="1" x14ac:dyDescent="0.25">
      <c r="A197" s="18"/>
      <c r="B197" s="55"/>
      <c r="C197" s="19"/>
      <c r="D197" s="19"/>
      <c r="E197" s="19"/>
      <c r="F197" s="19"/>
      <c r="G197" s="23"/>
      <c r="H197" s="19"/>
      <c r="I197" s="27"/>
      <c r="J197" s="27"/>
      <c r="K197" s="19"/>
      <c r="L197" s="19"/>
      <c r="M197" s="19"/>
      <c r="N197" s="19"/>
      <c r="O197" s="19"/>
      <c r="P197" s="19"/>
    </row>
    <row r="198" spans="1:16" ht="20.100000000000001" customHeight="1" x14ac:dyDescent="0.25">
      <c r="A198" s="18"/>
      <c r="B198" s="55"/>
      <c r="C198" s="19"/>
      <c r="D198" s="19"/>
      <c r="E198" s="19"/>
      <c r="F198" s="19"/>
      <c r="G198" s="23"/>
      <c r="H198" s="19"/>
      <c r="I198" s="27"/>
      <c r="J198" s="27"/>
      <c r="K198" s="19"/>
      <c r="L198" s="19"/>
      <c r="M198" s="19"/>
      <c r="N198" s="19"/>
      <c r="O198" s="19"/>
      <c r="P198" s="19"/>
    </row>
    <row r="199" spans="1:16" ht="20.100000000000001" customHeight="1" x14ac:dyDescent="0.25">
      <c r="A199" s="18"/>
      <c r="B199" s="55"/>
      <c r="C199" s="19"/>
      <c r="D199" s="19"/>
      <c r="E199" s="19"/>
      <c r="F199" s="19"/>
      <c r="G199" s="23"/>
      <c r="H199" s="19"/>
      <c r="I199" s="27"/>
      <c r="J199" s="27"/>
      <c r="K199" s="19"/>
      <c r="L199" s="19"/>
      <c r="M199" s="19"/>
      <c r="N199" s="19"/>
      <c r="O199" s="19"/>
      <c r="P199" s="19"/>
    </row>
    <row r="200" spans="1:16" ht="20.100000000000001" customHeight="1" x14ac:dyDescent="0.25">
      <c r="A200" s="18"/>
      <c r="B200" s="55"/>
      <c r="C200" s="19"/>
      <c r="D200" s="19"/>
      <c r="E200" s="19"/>
      <c r="F200" s="19"/>
      <c r="G200" s="23"/>
      <c r="H200" s="19"/>
      <c r="I200" s="27"/>
      <c r="J200" s="27"/>
      <c r="K200" s="19"/>
      <c r="L200" s="19"/>
      <c r="M200" s="19"/>
      <c r="N200" s="19"/>
      <c r="O200" s="19"/>
      <c r="P200" s="19"/>
    </row>
    <row r="201" spans="1:16" ht="20.100000000000001" customHeight="1" x14ac:dyDescent="0.25">
      <c r="A201" s="18"/>
      <c r="B201" s="55"/>
      <c r="C201" s="19"/>
      <c r="D201" s="19"/>
      <c r="E201" s="19"/>
      <c r="F201" s="19"/>
      <c r="G201" s="23"/>
      <c r="H201" s="19"/>
      <c r="I201" s="27"/>
      <c r="J201" s="27"/>
      <c r="K201" s="19"/>
      <c r="L201" s="19"/>
      <c r="M201" s="19"/>
      <c r="N201" s="19"/>
      <c r="O201" s="19"/>
      <c r="P201" s="19"/>
    </row>
    <row r="202" spans="1:16" ht="20.100000000000001" customHeight="1" x14ac:dyDescent="0.25">
      <c r="A202" s="18"/>
      <c r="B202" s="55"/>
      <c r="C202" s="19"/>
      <c r="D202" s="19"/>
      <c r="E202" s="19"/>
      <c r="F202" s="19"/>
      <c r="G202" s="23"/>
      <c r="H202" s="19"/>
      <c r="I202" s="27"/>
      <c r="J202" s="27"/>
      <c r="K202" s="19"/>
      <c r="L202" s="19"/>
      <c r="M202" s="19"/>
      <c r="N202" s="19"/>
      <c r="O202" s="19"/>
      <c r="P202" s="19"/>
    </row>
    <row r="203" spans="1:16" ht="20.100000000000001" customHeight="1" x14ac:dyDescent="0.25">
      <c r="A203" s="18"/>
      <c r="B203" s="55"/>
      <c r="C203" s="19"/>
      <c r="D203" s="19"/>
      <c r="E203" s="19"/>
      <c r="F203" s="19"/>
      <c r="G203" s="23"/>
      <c r="H203" s="19"/>
      <c r="I203" s="27"/>
      <c r="J203" s="27"/>
      <c r="K203" s="19"/>
      <c r="L203" s="19"/>
      <c r="M203" s="19"/>
      <c r="N203" s="19"/>
      <c r="O203" s="19"/>
      <c r="P203" s="19"/>
    </row>
    <row r="204" spans="1:16" ht="20.100000000000001" customHeight="1" x14ac:dyDescent="0.25">
      <c r="A204" s="18"/>
      <c r="B204" s="55"/>
      <c r="C204" s="19"/>
      <c r="D204" s="19"/>
      <c r="E204" s="19"/>
      <c r="F204" s="19"/>
      <c r="G204" s="23"/>
      <c r="H204" s="19"/>
      <c r="I204" s="27"/>
      <c r="J204" s="27"/>
      <c r="K204" s="19"/>
      <c r="L204" s="19"/>
      <c r="M204" s="19"/>
      <c r="N204" s="19"/>
      <c r="O204" s="19"/>
      <c r="P204" s="19"/>
    </row>
    <row r="205" spans="1:16" ht="20.100000000000001" customHeight="1" x14ac:dyDescent="0.25">
      <c r="A205" s="18"/>
      <c r="B205" s="55"/>
      <c r="C205" s="19"/>
      <c r="D205" s="19"/>
      <c r="E205" s="19"/>
      <c r="F205" s="19"/>
      <c r="G205" s="23"/>
      <c r="H205" s="19"/>
      <c r="I205" s="27"/>
      <c r="J205" s="27"/>
      <c r="K205" s="19"/>
      <c r="L205" s="19"/>
      <c r="M205" s="19"/>
      <c r="N205" s="19"/>
      <c r="O205" s="19"/>
      <c r="P205" s="19"/>
    </row>
    <row r="206" spans="1:16" ht="20.100000000000001" customHeight="1" x14ac:dyDescent="0.25">
      <c r="A206" s="20"/>
      <c r="B206" s="56"/>
      <c r="C206" s="21"/>
      <c r="D206" s="21"/>
      <c r="E206" s="21"/>
      <c r="F206" s="21"/>
      <c r="G206" s="24"/>
      <c r="H206" s="21"/>
      <c r="I206" s="28"/>
      <c r="J206" s="28"/>
      <c r="K206" s="21"/>
      <c r="L206" s="21"/>
      <c r="M206" s="21"/>
      <c r="N206" s="21"/>
      <c r="O206" s="21"/>
      <c r="P206" s="21"/>
    </row>
  </sheetData>
  <dataValidations count="1">
    <dataValidation type="list" allowBlank="1" showInputMessage="1" showErrorMessage="1" sqref="AN7">
      <formula1>$AO$7:$AO$14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GeoGen">
                <anchor moveWithCells="1" sizeWithCells="1">
                  <from>
                    <xdr:col>0</xdr:col>
                    <xdr:colOff>342900</xdr:colOff>
                    <xdr:row>1</xdr:row>
                    <xdr:rowOff>95250</xdr:rowOff>
                  </from>
                  <to>
                    <xdr:col>1</xdr:col>
                    <xdr:colOff>523875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5"/>
  <sheetViews>
    <sheetView topLeftCell="A31" workbookViewId="0">
      <selection activeCell="B6" sqref="B6:D63"/>
    </sheetView>
  </sheetViews>
  <sheetFormatPr defaultRowHeight="15" x14ac:dyDescent="0.25"/>
  <cols>
    <col min="1" max="1" width="10.5703125" bestFit="1" customWidth="1"/>
    <col min="2" max="2" width="27.42578125" customWidth="1"/>
    <col min="3" max="4" width="13.5703125" customWidth="1"/>
  </cols>
  <sheetData>
    <row r="1" spans="1:4" x14ac:dyDescent="0.25">
      <c r="A1" t="s">
        <v>2</v>
      </c>
      <c r="B1" t="s">
        <v>132</v>
      </c>
    </row>
    <row r="2" spans="1:4" x14ac:dyDescent="0.25">
      <c r="A2" t="s">
        <v>2</v>
      </c>
    </row>
    <row r="6" spans="1:4" s="1" customFormat="1" x14ac:dyDescent="0.25">
      <c r="A6" s="1" t="s">
        <v>1</v>
      </c>
      <c r="B6" s="1" t="s">
        <v>0</v>
      </c>
      <c r="C6" s="1" t="s">
        <v>4</v>
      </c>
      <c r="D6" s="1" t="s">
        <v>3</v>
      </c>
    </row>
    <row r="7" spans="1:4" x14ac:dyDescent="0.25">
      <c r="A7">
        <v>1</v>
      </c>
      <c r="B7" s="62" t="s">
        <v>75</v>
      </c>
      <c r="C7" t="str">
        <f>LoadZoneTag($B$1,$A7)</f>
        <v>MECHE</v>
      </c>
      <c r="D7" t="s">
        <v>133</v>
      </c>
    </row>
    <row r="8" spans="1:4" x14ac:dyDescent="0.25">
      <c r="A8">
        <v>2</v>
      </c>
      <c r="B8" s="62" t="s">
        <v>76</v>
      </c>
      <c r="C8" t="str">
        <f>LoadZoneTag($B$1,$A8)</f>
        <v>BLDSV</v>
      </c>
      <c r="D8" t="s">
        <v>133</v>
      </c>
    </row>
    <row r="9" spans="1:4" x14ac:dyDescent="0.25">
      <c r="A9">
        <v>3</v>
      </c>
      <c r="B9" s="62" t="s">
        <v>77</v>
      </c>
      <c r="C9" t="str">
        <f>LoadZoneTag($B$1,$A9)</f>
        <v>PUBLC</v>
      </c>
      <c r="D9" t="s">
        <v>133</v>
      </c>
    </row>
    <row r="10" spans="1:4" x14ac:dyDescent="0.25">
      <c r="A10">
        <v>4</v>
      </c>
      <c r="B10" s="62" t="s">
        <v>78</v>
      </c>
      <c r="C10" t="str">
        <f t="shared" ref="C10:C63" si="0">LoadZoneTag($B$1,$A10)</f>
        <v>BLDSV</v>
      </c>
      <c r="D10" t="s">
        <v>133</v>
      </c>
    </row>
    <row r="11" spans="1:4" x14ac:dyDescent="0.25">
      <c r="A11">
        <v>5</v>
      </c>
      <c r="B11" s="62" t="s">
        <v>79</v>
      </c>
      <c r="C11" t="str">
        <f t="shared" si="0"/>
        <v>BLDSV</v>
      </c>
      <c r="D11" t="s">
        <v>133</v>
      </c>
    </row>
    <row r="12" spans="1:4" x14ac:dyDescent="0.25">
      <c r="A12">
        <v>6</v>
      </c>
      <c r="B12" s="62" t="s">
        <v>80</v>
      </c>
      <c r="C12" t="str">
        <f t="shared" si="0"/>
        <v>STORG</v>
      </c>
      <c r="D12" t="s">
        <v>133</v>
      </c>
    </row>
    <row r="13" spans="1:4" x14ac:dyDescent="0.25">
      <c r="A13">
        <v>7</v>
      </c>
      <c r="B13" s="62" t="s">
        <v>81</v>
      </c>
      <c r="C13" t="str">
        <f t="shared" si="0"/>
        <v>STORG</v>
      </c>
      <c r="D13" t="s">
        <v>133</v>
      </c>
    </row>
    <row r="14" spans="1:4" x14ac:dyDescent="0.25">
      <c r="A14">
        <v>8</v>
      </c>
      <c r="B14" s="62" t="s">
        <v>82</v>
      </c>
      <c r="C14" t="str">
        <f t="shared" si="0"/>
        <v>PUBLC</v>
      </c>
      <c r="D14" t="s">
        <v>133</v>
      </c>
    </row>
    <row r="15" spans="1:4" x14ac:dyDescent="0.25">
      <c r="A15">
        <v>9</v>
      </c>
      <c r="B15" s="62" t="s">
        <v>83</v>
      </c>
      <c r="C15" t="str">
        <f t="shared" si="0"/>
        <v>PUBLC</v>
      </c>
      <c r="D15" t="s">
        <v>133</v>
      </c>
    </row>
    <row r="16" spans="1:4" x14ac:dyDescent="0.25">
      <c r="A16">
        <v>10</v>
      </c>
      <c r="B16" s="62" t="s">
        <v>84</v>
      </c>
      <c r="C16" t="str">
        <f t="shared" si="0"/>
        <v>RADIO</v>
      </c>
      <c r="D16" t="s">
        <v>135</v>
      </c>
    </row>
    <row r="17" spans="1:4" x14ac:dyDescent="0.25">
      <c r="A17">
        <v>11</v>
      </c>
      <c r="B17" s="62" t="s">
        <v>85</v>
      </c>
      <c r="C17" t="str">
        <f t="shared" si="0"/>
        <v>OPTRM</v>
      </c>
      <c r="D17" t="s">
        <v>134</v>
      </c>
    </row>
    <row r="18" spans="1:4" x14ac:dyDescent="0.25">
      <c r="A18">
        <v>12</v>
      </c>
      <c r="B18" s="62" t="s">
        <v>86</v>
      </c>
      <c r="C18" t="str">
        <f t="shared" si="0"/>
        <v>PUBLC</v>
      </c>
      <c r="D18" t="s">
        <v>133</v>
      </c>
    </row>
    <row r="19" spans="1:4" x14ac:dyDescent="0.25">
      <c r="A19">
        <v>13</v>
      </c>
      <c r="B19" s="62" t="s">
        <v>87</v>
      </c>
      <c r="C19" t="str">
        <f t="shared" si="0"/>
        <v>OPTRM</v>
      </c>
      <c r="D19" t="s">
        <v>134</v>
      </c>
    </row>
    <row r="20" spans="1:4" x14ac:dyDescent="0.25">
      <c r="A20">
        <v>14</v>
      </c>
      <c r="B20" s="62" t="s">
        <v>88</v>
      </c>
      <c r="C20" t="str">
        <f t="shared" si="0"/>
        <v>STORG</v>
      </c>
      <c r="D20" t="s">
        <v>133</v>
      </c>
    </row>
    <row r="21" spans="1:4" x14ac:dyDescent="0.25">
      <c r="A21">
        <v>15</v>
      </c>
      <c r="B21" s="62" t="s">
        <v>89</v>
      </c>
      <c r="C21" t="str">
        <f t="shared" si="0"/>
        <v>PATRM</v>
      </c>
      <c r="D21" t="s">
        <v>135</v>
      </c>
    </row>
    <row r="22" spans="1:4" x14ac:dyDescent="0.25">
      <c r="A22">
        <v>16</v>
      </c>
      <c r="B22" s="62" t="s">
        <v>90</v>
      </c>
      <c r="C22" t="str">
        <f t="shared" si="0"/>
        <v>PATRM</v>
      </c>
      <c r="D22" t="s">
        <v>135</v>
      </c>
    </row>
    <row r="23" spans="1:4" x14ac:dyDescent="0.25">
      <c r="A23">
        <v>17</v>
      </c>
      <c r="B23" s="62" t="s">
        <v>91</v>
      </c>
      <c r="C23" t="str">
        <f t="shared" si="0"/>
        <v>PATRM</v>
      </c>
      <c r="D23" t="s">
        <v>135</v>
      </c>
    </row>
    <row r="24" spans="1:4" x14ac:dyDescent="0.25">
      <c r="A24">
        <v>18</v>
      </c>
      <c r="B24" s="62" t="s">
        <v>92</v>
      </c>
      <c r="C24" t="str">
        <f t="shared" si="0"/>
        <v>PATRM</v>
      </c>
      <c r="D24" t="s">
        <v>135</v>
      </c>
    </row>
    <row r="25" spans="1:4" x14ac:dyDescent="0.25">
      <c r="A25">
        <v>19</v>
      </c>
      <c r="B25" s="62" t="s">
        <v>93</v>
      </c>
      <c r="C25" t="str">
        <f t="shared" si="0"/>
        <v>OFFCP</v>
      </c>
      <c r="D25" t="s">
        <v>133</v>
      </c>
    </row>
    <row r="26" spans="1:4" x14ac:dyDescent="0.25">
      <c r="A26">
        <v>20</v>
      </c>
      <c r="B26" s="62" t="s">
        <v>94</v>
      </c>
      <c r="C26" t="str">
        <f t="shared" si="0"/>
        <v>MECHE</v>
      </c>
      <c r="D26" t="s">
        <v>133</v>
      </c>
    </row>
    <row r="27" spans="1:4" x14ac:dyDescent="0.25">
      <c r="A27">
        <v>21</v>
      </c>
      <c r="B27" s="62" t="s">
        <v>95</v>
      </c>
      <c r="C27" t="str">
        <f t="shared" si="0"/>
        <v>OFFCP</v>
      </c>
      <c r="D27" t="s">
        <v>133</v>
      </c>
    </row>
    <row r="28" spans="1:4" x14ac:dyDescent="0.25">
      <c r="A28">
        <v>22</v>
      </c>
      <c r="B28" s="62" t="s">
        <v>96</v>
      </c>
      <c r="C28" t="str">
        <f t="shared" si="0"/>
        <v>STORG</v>
      </c>
      <c r="D28" t="s">
        <v>133</v>
      </c>
    </row>
    <row r="29" spans="1:4" x14ac:dyDescent="0.25">
      <c r="A29">
        <v>23</v>
      </c>
      <c r="B29" s="62" t="s">
        <v>97</v>
      </c>
      <c r="C29" t="str">
        <f t="shared" si="0"/>
        <v>PUBLC</v>
      </c>
      <c r="D29" t="s">
        <v>133</v>
      </c>
    </row>
    <row r="30" spans="1:4" x14ac:dyDescent="0.25">
      <c r="A30">
        <v>24</v>
      </c>
      <c r="B30" s="62" t="s">
        <v>98</v>
      </c>
      <c r="C30" t="str">
        <f t="shared" si="0"/>
        <v>OPTRM</v>
      </c>
      <c r="D30" t="s">
        <v>134</v>
      </c>
    </row>
    <row r="31" spans="1:4" x14ac:dyDescent="0.25">
      <c r="A31">
        <v>25</v>
      </c>
      <c r="B31" s="62" t="s">
        <v>99</v>
      </c>
      <c r="C31" t="str">
        <f t="shared" si="0"/>
        <v>PATRM</v>
      </c>
      <c r="D31" t="s">
        <v>133</v>
      </c>
    </row>
    <row r="32" spans="1:4" x14ac:dyDescent="0.25">
      <c r="A32">
        <v>26</v>
      </c>
      <c r="B32" s="62" t="s">
        <v>100</v>
      </c>
      <c r="C32" t="str">
        <f t="shared" si="0"/>
        <v>OFFCP</v>
      </c>
      <c r="D32" t="s">
        <v>133</v>
      </c>
    </row>
    <row r="33" spans="1:4" x14ac:dyDescent="0.25">
      <c r="A33">
        <v>27</v>
      </c>
      <c r="B33" s="62" t="s">
        <v>101</v>
      </c>
      <c r="C33" t="str">
        <f t="shared" si="0"/>
        <v>PUBLC</v>
      </c>
      <c r="D33" t="s">
        <v>133</v>
      </c>
    </row>
    <row r="34" spans="1:4" x14ac:dyDescent="0.25">
      <c r="A34">
        <v>28</v>
      </c>
      <c r="B34" s="62" t="s">
        <v>102</v>
      </c>
      <c r="C34" t="str">
        <f t="shared" si="0"/>
        <v>PATRM</v>
      </c>
      <c r="D34" t="s">
        <v>135</v>
      </c>
    </row>
    <row r="35" spans="1:4" x14ac:dyDescent="0.25">
      <c r="A35">
        <v>29</v>
      </c>
      <c r="B35" s="62" t="s">
        <v>103</v>
      </c>
      <c r="C35" t="str">
        <f t="shared" si="0"/>
        <v>PATRM</v>
      </c>
      <c r="D35" t="s">
        <v>135</v>
      </c>
    </row>
    <row r="36" spans="1:4" x14ac:dyDescent="0.25">
      <c r="A36">
        <v>30</v>
      </c>
      <c r="B36" s="62" t="s">
        <v>104</v>
      </c>
      <c r="C36" t="str">
        <f t="shared" si="0"/>
        <v>PATRM</v>
      </c>
      <c r="D36" t="s">
        <v>135</v>
      </c>
    </row>
    <row r="37" spans="1:4" x14ac:dyDescent="0.25">
      <c r="A37">
        <v>31</v>
      </c>
      <c r="B37" s="62" t="s">
        <v>105</v>
      </c>
      <c r="C37" t="str">
        <f t="shared" si="0"/>
        <v>PATRM</v>
      </c>
      <c r="D37" t="s">
        <v>135</v>
      </c>
    </row>
    <row r="38" spans="1:4" x14ac:dyDescent="0.25">
      <c r="A38">
        <v>32</v>
      </c>
      <c r="B38" s="62" t="s">
        <v>106</v>
      </c>
      <c r="C38" t="str">
        <f t="shared" si="0"/>
        <v>PATSP</v>
      </c>
      <c r="D38" t="s">
        <v>135</v>
      </c>
    </row>
    <row r="39" spans="1:4" x14ac:dyDescent="0.25">
      <c r="A39">
        <v>33</v>
      </c>
      <c r="B39" s="62" t="s">
        <v>107</v>
      </c>
      <c r="C39" t="str">
        <f t="shared" si="0"/>
        <v>PUBLC</v>
      </c>
      <c r="D39" t="s">
        <v>135</v>
      </c>
    </row>
    <row r="40" spans="1:4" x14ac:dyDescent="0.25">
      <c r="A40">
        <v>34</v>
      </c>
      <c r="B40" s="62" t="s">
        <v>108</v>
      </c>
      <c r="C40" t="str">
        <f t="shared" si="0"/>
        <v>PATRM</v>
      </c>
      <c r="D40" t="s">
        <v>135</v>
      </c>
    </row>
    <row r="41" spans="1:4" x14ac:dyDescent="0.25">
      <c r="A41">
        <v>35</v>
      </c>
      <c r="B41" s="62" t="s">
        <v>109</v>
      </c>
      <c r="C41" t="str">
        <f t="shared" si="0"/>
        <v>PATRM</v>
      </c>
      <c r="D41" t="s">
        <v>135</v>
      </c>
    </row>
    <row r="42" spans="1:4" x14ac:dyDescent="0.25">
      <c r="A42">
        <v>36</v>
      </c>
      <c r="B42" s="62" t="s">
        <v>110</v>
      </c>
      <c r="C42" t="str">
        <f t="shared" si="0"/>
        <v>PATRM</v>
      </c>
      <c r="D42" t="s">
        <v>135</v>
      </c>
    </row>
    <row r="43" spans="1:4" x14ac:dyDescent="0.25">
      <c r="A43">
        <v>37</v>
      </c>
      <c r="B43" s="62" t="s">
        <v>111</v>
      </c>
      <c r="C43" t="str">
        <f t="shared" si="0"/>
        <v>PATRM</v>
      </c>
      <c r="D43" t="s">
        <v>135</v>
      </c>
    </row>
    <row r="44" spans="1:4" x14ac:dyDescent="0.25">
      <c r="A44">
        <v>38</v>
      </c>
      <c r="B44" s="62" t="s">
        <v>112</v>
      </c>
      <c r="C44" t="str">
        <f t="shared" si="0"/>
        <v>PATSP</v>
      </c>
      <c r="D44" t="s">
        <v>135</v>
      </c>
    </row>
    <row r="45" spans="1:4" x14ac:dyDescent="0.25">
      <c r="A45">
        <v>39</v>
      </c>
      <c r="B45" s="62" t="s">
        <v>113</v>
      </c>
      <c r="C45" t="str">
        <f t="shared" si="0"/>
        <v>PUBLC</v>
      </c>
      <c r="D45" t="s">
        <v>135</v>
      </c>
    </row>
    <row r="46" spans="1:4" x14ac:dyDescent="0.25">
      <c r="A46">
        <v>40</v>
      </c>
      <c r="B46" s="62" t="s">
        <v>114</v>
      </c>
      <c r="C46" t="str">
        <f t="shared" si="0"/>
        <v>PATRM</v>
      </c>
      <c r="D46" t="s">
        <v>135</v>
      </c>
    </row>
    <row r="47" spans="1:4" x14ac:dyDescent="0.25">
      <c r="A47">
        <v>41</v>
      </c>
      <c r="B47" s="62" t="s">
        <v>115</v>
      </c>
      <c r="C47" t="str">
        <f t="shared" si="0"/>
        <v>PATRM</v>
      </c>
      <c r="D47" t="s">
        <v>135</v>
      </c>
    </row>
    <row r="48" spans="1:4" x14ac:dyDescent="0.25">
      <c r="A48">
        <v>42</v>
      </c>
      <c r="B48" s="62" t="s">
        <v>116</v>
      </c>
      <c r="C48" t="str">
        <f t="shared" si="0"/>
        <v>PATRM</v>
      </c>
      <c r="D48" t="s">
        <v>135</v>
      </c>
    </row>
    <row r="49" spans="1:4" x14ac:dyDescent="0.25">
      <c r="A49">
        <v>43</v>
      </c>
      <c r="B49" s="62" t="s">
        <v>117</v>
      </c>
      <c r="C49" t="str">
        <f t="shared" si="0"/>
        <v>PATRM</v>
      </c>
      <c r="D49" t="s">
        <v>135</v>
      </c>
    </row>
    <row r="50" spans="1:4" x14ac:dyDescent="0.25">
      <c r="A50">
        <v>44</v>
      </c>
      <c r="B50" s="62" t="s">
        <v>118</v>
      </c>
      <c r="C50" t="str">
        <f t="shared" si="0"/>
        <v>PATSP</v>
      </c>
      <c r="D50" t="s">
        <v>135</v>
      </c>
    </row>
    <row r="51" spans="1:4" x14ac:dyDescent="0.25">
      <c r="A51">
        <v>45</v>
      </c>
      <c r="B51" s="62" t="s">
        <v>119</v>
      </c>
      <c r="C51" t="str">
        <f t="shared" si="0"/>
        <v>PUBLC</v>
      </c>
      <c r="D51" t="s">
        <v>135</v>
      </c>
    </row>
    <row r="52" spans="1:4" x14ac:dyDescent="0.25">
      <c r="A52">
        <v>46</v>
      </c>
      <c r="B52" s="62" t="s">
        <v>120</v>
      </c>
      <c r="C52" t="str">
        <f t="shared" si="0"/>
        <v>PATRM</v>
      </c>
      <c r="D52" t="s">
        <v>135</v>
      </c>
    </row>
    <row r="53" spans="1:4" x14ac:dyDescent="0.25">
      <c r="A53">
        <v>47</v>
      </c>
      <c r="B53" s="62" t="s">
        <v>121</v>
      </c>
      <c r="C53" t="str">
        <f t="shared" si="0"/>
        <v>PATRM</v>
      </c>
      <c r="D53" t="s">
        <v>135</v>
      </c>
    </row>
    <row r="54" spans="1:4" x14ac:dyDescent="0.25">
      <c r="A54">
        <v>48</v>
      </c>
      <c r="B54" s="62" t="s">
        <v>122</v>
      </c>
      <c r="C54" t="str">
        <f t="shared" si="0"/>
        <v>PATRM</v>
      </c>
      <c r="D54" t="s">
        <v>135</v>
      </c>
    </row>
    <row r="55" spans="1:4" x14ac:dyDescent="0.25">
      <c r="A55">
        <v>49</v>
      </c>
      <c r="B55" s="62" t="s">
        <v>123</v>
      </c>
      <c r="C55" t="str">
        <f t="shared" si="0"/>
        <v>PATRM</v>
      </c>
      <c r="D55" t="s">
        <v>135</v>
      </c>
    </row>
    <row r="56" spans="1:4" x14ac:dyDescent="0.25">
      <c r="A56">
        <v>50</v>
      </c>
      <c r="B56" s="62" t="s">
        <v>124</v>
      </c>
      <c r="C56" t="str">
        <f t="shared" si="0"/>
        <v>PATSP</v>
      </c>
      <c r="D56" t="s">
        <v>135</v>
      </c>
    </row>
    <row r="57" spans="1:4" x14ac:dyDescent="0.25">
      <c r="A57">
        <v>51</v>
      </c>
      <c r="B57" s="62" t="s">
        <v>125</v>
      </c>
      <c r="C57" t="str">
        <f t="shared" si="0"/>
        <v>PUBLC</v>
      </c>
      <c r="D57" t="s">
        <v>135</v>
      </c>
    </row>
    <row r="58" spans="1:4" x14ac:dyDescent="0.25">
      <c r="A58">
        <v>52</v>
      </c>
      <c r="B58" s="62" t="s">
        <v>126</v>
      </c>
      <c r="C58" t="str">
        <f t="shared" si="0"/>
        <v>PATRM</v>
      </c>
      <c r="D58" t="s">
        <v>135</v>
      </c>
    </row>
    <row r="59" spans="1:4" x14ac:dyDescent="0.25">
      <c r="A59">
        <v>53</v>
      </c>
      <c r="B59" s="62" t="s">
        <v>127</v>
      </c>
      <c r="C59" t="str">
        <f t="shared" si="0"/>
        <v>PATRM</v>
      </c>
      <c r="D59" t="s">
        <v>135</v>
      </c>
    </row>
    <row r="60" spans="1:4" x14ac:dyDescent="0.25">
      <c r="A60">
        <v>54</v>
      </c>
      <c r="B60" s="62" t="s">
        <v>128</v>
      </c>
      <c r="C60" t="str">
        <f t="shared" si="0"/>
        <v>PATRM</v>
      </c>
      <c r="D60" t="s">
        <v>135</v>
      </c>
    </row>
    <row r="61" spans="1:4" x14ac:dyDescent="0.25">
      <c r="A61">
        <v>55</v>
      </c>
      <c r="B61" s="62" t="s">
        <v>129</v>
      </c>
      <c r="C61" t="str">
        <f t="shared" si="0"/>
        <v>PATRM</v>
      </c>
      <c r="D61" t="s">
        <v>135</v>
      </c>
    </row>
    <row r="62" spans="1:4" x14ac:dyDescent="0.25">
      <c r="A62">
        <v>56</v>
      </c>
      <c r="B62" s="62" t="s">
        <v>130</v>
      </c>
      <c r="C62" t="str">
        <f t="shared" si="0"/>
        <v>PATSP</v>
      </c>
      <c r="D62" t="s">
        <v>135</v>
      </c>
    </row>
    <row r="63" spans="1:4" x14ac:dyDescent="0.25">
      <c r="A63">
        <v>57</v>
      </c>
      <c r="B63" s="62" t="s">
        <v>131</v>
      </c>
      <c r="C63" t="str">
        <f t="shared" si="0"/>
        <v>PUBLC</v>
      </c>
      <c r="D63" t="s">
        <v>135</v>
      </c>
    </row>
    <row r="64" spans="1:4" x14ac:dyDescent="0.25">
      <c r="B64" s="63"/>
    </row>
    <row r="65" spans="2:2" x14ac:dyDescent="0.25">
      <c r="B65" s="6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5"/>
  <sheetViews>
    <sheetView zoomScaleNormal="100" workbookViewId="0">
      <selection activeCell="H9" sqref="H9"/>
    </sheetView>
  </sheetViews>
  <sheetFormatPr defaultRowHeight="15" x14ac:dyDescent="0.25"/>
  <cols>
    <col min="1" max="1" width="16.42578125" bestFit="1" customWidth="1"/>
    <col min="2" max="2" width="8.85546875" bestFit="1" customWidth="1"/>
    <col min="3" max="3" width="11.28515625" bestFit="1" customWidth="1"/>
  </cols>
  <sheetData>
    <row r="1" spans="1:9" x14ac:dyDescent="0.25">
      <c r="A1" t="s">
        <v>0</v>
      </c>
      <c r="B1" t="s">
        <v>4</v>
      </c>
      <c r="C1" t="s">
        <v>3</v>
      </c>
    </row>
    <row r="2" spans="1:9" x14ac:dyDescent="0.25">
      <c r="A2" t="s">
        <v>75</v>
      </c>
      <c r="B2" t="s">
        <v>46</v>
      </c>
      <c r="C2" t="s">
        <v>133</v>
      </c>
    </row>
    <row r="3" spans="1:9" x14ac:dyDescent="0.25">
      <c r="A3" s="63" t="s">
        <v>76</v>
      </c>
      <c r="B3" s="63" t="s">
        <v>54</v>
      </c>
      <c r="C3" s="63" t="s">
        <v>133</v>
      </c>
      <c r="D3" s="63"/>
      <c r="E3" s="63"/>
      <c r="F3" s="63"/>
      <c r="G3" s="63"/>
      <c r="H3" s="63"/>
      <c r="I3" s="63"/>
    </row>
    <row r="4" spans="1:9" x14ac:dyDescent="0.25">
      <c r="A4" s="63" t="s">
        <v>77</v>
      </c>
      <c r="B4" s="63" t="s">
        <v>55</v>
      </c>
      <c r="C4" s="63" t="s">
        <v>133</v>
      </c>
      <c r="D4" s="63"/>
      <c r="E4" s="63"/>
      <c r="F4" s="63"/>
      <c r="G4" s="63"/>
      <c r="H4" s="63"/>
      <c r="I4" s="63"/>
    </row>
    <row r="5" spans="1:9" x14ac:dyDescent="0.25">
      <c r="A5" s="63" t="s">
        <v>78</v>
      </c>
      <c r="B5" s="63" t="s">
        <v>54</v>
      </c>
      <c r="C5" s="63" t="s">
        <v>133</v>
      </c>
      <c r="D5" s="63"/>
      <c r="E5" s="63"/>
      <c r="F5" s="63"/>
      <c r="G5" s="63"/>
      <c r="H5" s="63"/>
      <c r="I5" s="63"/>
    </row>
    <row r="6" spans="1:9" x14ac:dyDescent="0.25">
      <c r="A6" s="63" t="s">
        <v>79</v>
      </c>
      <c r="B6" s="63" t="s">
        <v>54</v>
      </c>
      <c r="C6" s="63" t="s">
        <v>133</v>
      </c>
      <c r="D6" s="63"/>
      <c r="E6" s="63"/>
      <c r="F6" s="63"/>
      <c r="G6" s="63"/>
      <c r="H6" s="63"/>
      <c r="I6" s="63"/>
    </row>
    <row r="7" spans="1:9" x14ac:dyDescent="0.25">
      <c r="A7" s="63" t="s">
        <v>80</v>
      </c>
      <c r="B7" s="63" t="s">
        <v>56</v>
      </c>
      <c r="C7" s="63" t="s">
        <v>133</v>
      </c>
      <c r="D7" s="64"/>
      <c r="E7" s="63"/>
      <c r="F7" s="63"/>
      <c r="G7" s="63"/>
      <c r="H7" s="63"/>
      <c r="I7" s="63"/>
    </row>
    <row r="8" spans="1:9" x14ac:dyDescent="0.25">
      <c r="A8" s="63" t="s">
        <v>81</v>
      </c>
      <c r="B8" s="63" t="s">
        <v>56</v>
      </c>
      <c r="C8" s="63" t="s">
        <v>133</v>
      </c>
      <c r="D8" s="64"/>
      <c r="E8" s="63"/>
      <c r="F8" s="63"/>
      <c r="G8" s="63"/>
      <c r="H8" s="63"/>
      <c r="I8" s="63"/>
    </row>
    <row r="9" spans="1:9" x14ac:dyDescent="0.25">
      <c r="A9" s="63" t="s">
        <v>82</v>
      </c>
      <c r="B9" s="63" t="s">
        <v>55</v>
      </c>
      <c r="C9" s="63" t="s">
        <v>133</v>
      </c>
      <c r="D9" s="64"/>
      <c r="E9" s="63"/>
      <c r="F9" s="63"/>
      <c r="G9" s="63"/>
      <c r="H9" s="63"/>
      <c r="I9" s="63"/>
    </row>
    <row r="10" spans="1:9" x14ac:dyDescent="0.25">
      <c r="A10" s="63" t="s">
        <v>83</v>
      </c>
      <c r="B10" s="63" t="s">
        <v>55</v>
      </c>
      <c r="C10" s="63" t="s">
        <v>133</v>
      </c>
      <c r="D10" s="64"/>
      <c r="E10" s="63"/>
      <c r="F10" s="63"/>
      <c r="G10" s="63"/>
      <c r="H10" s="63"/>
      <c r="I10" s="63"/>
    </row>
    <row r="11" spans="1:9" x14ac:dyDescent="0.25">
      <c r="A11" s="63" t="s">
        <v>84</v>
      </c>
      <c r="B11" s="63" t="s">
        <v>57</v>
      </c>
      <c r="C11" s="63" t="s">
        <v>135</v>
      </c>
      <c r="D11" s="64"/>
      <c r="E11" s="63"/>
      <c r="F11" s="63"/>
      <c r="G11" s="63"/>
      <c r="H11" s="63"/>
      <c r="I11" s="63"/>
    </row>
    <row r="12" spans="1:9" x14ac:dyDescent="0.25">
      <c r="A12" s="63" t="s">
        <v>85</v>
      </c>
      <c r="B12" s="63" t="s">
        <v>58</v>
      </c>
      <c r="C12" s="63" t="s">
        <v>134</v>
      </c>
      <c r="D12" s="64"/>
      <c r="E12" s="63"/>
      <c r="F12" s="63"/>
      <c r="G12" s="63"/>
      <c r="H12" s="63"/>
      <c r="I12" s="63"/>
    </row>
    <row r="13" spans="1:9" x14ac:dyDescent="0.25">
      <c r="A13" s="63" t="s">
        <v>86</v>
      </c>
      <c r="B13" s="63" t="s">
        <v>55</v>
      </c>
      <c r="C13" s="63" t="s">
        <v>133</v>
      </c>
      <c r="D13" s="64"/>
      <c r="E13" s="63"/>
      <c r="F13" s="63"/>
      <c r="G13" s="63"/>
      <c r="H13" s="63"/>
      <c r="I13" s="63"/>
    </row>
    <row r="14" spans="1:9" x14ac:dyDescent="0.25">
      <c r="A14" s="63" t="s">
        <v>87</v>
      </c>
      <c r="B14" s="63" t="s">
        <v>58</v>
      </c>
      <c r="C14" s="63" t="s">
        <v>134</v>
      </c>
      <c r="D14" s="64"/>
      <c r="E14" s="63"/>
      <c r="F14" s="63"/>
      <c r="G14" s="63"/>
      <c r="H14" s="63"/>
      <c r="I14" s="63"/>
    </row>
    <row r="15" spans="1:9" x14ac:dyDescent="0.25">
      <c r="A15" s="63" t="s">
        <v>88</v>
      </c>
      <c r="B15" s="63" t="s">
        <v>56</v>
      </c>
      <c r="C15" s="63" t="s">
        <v>133</v>
      </c>
      <c r="D15" s="64"/>
      <c r="E15" s="63"/>
      <c r="F15" s="63"/>
      <c r="G15" s="63"/>
      <c r="H15" s="63"/>
      <c r="I15" s="63"/>
    </row>
    <row r="16" spans="1:9" x14ac:dyDescent="0.25">
      <c r="A16" s="63" t="s">
        <v>89</v>
      </c>
      <c r="B16" s="63" t="s">
        <v>59</v>
      </c>
      <c r="C16" s="63" t="s">
        <v>135</v>
      </c>
      <c r="D16" s="64"/>
      <c r="E16" s="63"/>
      <c r="F16" s="63"/>
      <c r="G16" s="63"/>
      <c r="H16" s="63"/>
      <c r="I16" s="63"/>
    </row>
    <row r="17" spans="1:9" x14ac:dyDescent="0.25">
      <c r="A17" s="63" t="s">
        <v>90</v>
      </c>
      <c r="B17" s="63" t="s">
        <v>59</v>
      </c>
      <c r="C17" s="63" t="s">
        <v>135</v>
      </c>
      <c r="D17" s="64"/>
      <c r="E17" s="63"/>
      <c r="F17" s="63"/>
      <c r="G17" s="63"/>
      <c r="H17" s="63"/>
      <c r="I17" s="63"/>
    </row>
    <row r="18" spans="1:9" x14ac:dyDescent="0.25">
      <c r="A18" s="63" t="s">
        <v>91</v>
      </c>
      <c r="B18" s="63" t="s">
        <v>59</v>
      </c>
      <c r="C18" s="63" t="s">
        <v>135</v>
      </c>
      <c r="D18" s="64"/>
      <c r="E18" s="63"/>
      <c r="F18" s="63"/>
      <c r="G18" s="63"/>
      <c r="H18" s="63"/>
      <c r="I18" s="63"/>
    </row>
    <row r="19" spans="1:9" x14ac:dyDescent="0.25">
      <c r="A19" s="63" t="s">
        <v>92</v>
      </c>
      <c r="B19" s="63" t="s">
        <v>59</v>
      </c>
      <c r="C19" s="63" t="s">
        <v>135</v>
      </c>
      <c r="D19" s="64"/>
      <c r="E19" s="63"/>
      <c r="F19" s="63"/>
      <c r="G19" s="63"/>
      <c r="H19" s="63"/>
      <c r="I19" s="63"/>
    </row>
    <row r="20" spans="1:9" x14ac:dyDescent="0.25">
      <c r="A20" s="63" t="s">
        <v>93</v>
      </c>
      <c r="B20" s="63" t="s">
        <v>136</v>
      </c>
      <c r="C20" s="63" t="s">
        <v>133</v>
      </c>
      <c r="D20" s="64"/>
      <c r="E20" s="63"/>
      <c r="F20" s="63"/>
      <c r="G20" s="63"/>
      <c r="H20" s="63"/>
      <c r="I20" s="63"/>
    </row>
    <row r="21" spans="1:9" x14ac:dyDescent="0.25">
      <c r="A21" s="63" t="s">
        <v>94</v>
      </c>
      <c r="B21" s="63" t="s">
        <v>46</v>
      </c>
      <c r="C21" s="63" t="s">
        <v>133</v>
      </c>
      <c r="D21" s="64"/>
      <c r="E21" s="63"/>
      <c r="F21" s="63"/>
      <c r="G21" s="63"/>
      <c r="H21" s="63"/>
      <c r="I21" s="63"/>
    </row>
    <row r="22" spans="1:9" x14ac:dyDescent="0.25">
      <c r="A22" s="63" t="s">
        <v>95</v>
      </c>
      <c r="B22" s="63" t="s">
        <v>136</v>
      </c>
      <c r="C22" s="63" t="s">
        <v>133</v>
      </c>
      <c r="D22" s="64"/>
      <c r="E22" s="63"/>
      <c r="F22" s="63"/>
      <c r="G22" s="63"/>
      <c r="H22" s="63"/>
      <c r="I22" s="63"/>
    </row>
    <row r="23" spans="1:9" x14ac:dyDescent="0.25">
      <c r="A23" s="63" t="s">
        <v>96</v>
      </c>
      <c r="B23" s="63" t="s">
        <v>56</v>
      </c>
      <c r="C23" s="63" t="s">
        <v>133</v>
      </c>
      <c r="D23" s="64"/>
      <c r="E23" s="63"/>
      <c r="F23" s="63"/>
      <c r="G23" s="63"/>
      <c r="H23" s="63"/>
      <c r="I23" s="63"/>
    </row>
    <row r="24" spans="1:9" x14ac:dyDescent="0.25">
      <c r="A24" s="63" t="s">
        <v>97</v>
      </c>
      <c r="B24" s="63" t="s">
        <v>55</v>
      </c>
      <c r="C24" s="63" t="s">
        <v>133</v>
      </c>
      <c r="D24" s="64"/>
      <c r="E24" s="63"/>
      <c r="F24" s="63"/>
      <c r="G24" s="63"/>
      <c r="H24" s="63"/>
      <c r="I24" s="63"/>
    </row>
    <row r="25" spans="1:9" x14ac:dyDescent="0.25">
      <c r="A25" s="63" t="s">
        <v>98</v>
      </c>
      <c r="B25" s="63" t="s">
        <v>58</v>
      </c>
      <c r="C25" s="63" t="s">
        <v>134</v>
      </c>
      <c r="D25" s="64"/>
      <c r="E25" s="63"/>
      <c r="F25" s="63"/>
      <c r="G25" s="63"/>
      <c r="H25" s="63"/>
      <c r="I25" s="63"/>
    </row>
    <row r="26" spans="1:9" x14ac:dyDescent="0.25">
      <c r="A26" s="63" t="s">
        <v>99</v>
      </c>
      <c r="B26" s="63" t="s">
        <v>59</v>
      </c>
      <c r="C26" s="63" t="s">
        <v>133</v>
      </c>
      <c r="D26" s="64"/>
      <c r="E26" s="63"/>
      <c r="F26" s="63"/>
      <c r="G26" s="63"/>
      <c r="H26" s="63"/>
      <c r="I26" s="63"/>
    </row>
    <row r="27" spans="1:9" x14ac:dyDescent="0.25">
      <c r="A27" s="63" t="s">
        <v>100</v>
      </c>
      <c r="B27" s="63" t="s">
        <v>136</v>
      </c>
      <c r="C27" s="63" t="s">
        <v>133</v>
      </c>
      <c r="D27" s="64"/>
      <c r="E27" s="63"/>
      <c r="F27" s="63"/>
      <c r="G27" s="63"/>
      <c r="H27" s="63"/>
      <c r="I27" s="63"/>
    </row>
    <row r="28" spans="1:9" x14ac:dyDescent="0.25">
      <c r="A28" s="63" t="s">
        <v>101</v>
      </c>
      <c r="B28" s="63" t="s">
        <v>55</v>
      </c>
      <c r="C28" s="63" t="s">
        <v>133</v>
      </c>
      <c r="D28" s="64"/>
      <c r="E28" s="63"/>
      <c r="F28" s="63"/>
      <c r="G28" s="63"/>
      <c r="H28" s="63"/>
      <c r="I28" s="63"/>
    </row>
    <row r="29" spans="1:9" x14ac:dyDescent="0.25">
      <c r="A29" s="63" t="s">
        <v>102</v>
      </c>
      <c r="B29" s="63" t="s">
        <v>59</v>
      </c>
      <c r="C29" s="63" t="s">
        <v>135</v>
      </c>
      <c r="D29" s="64"/>
      <c r="E29" s="63"/>
      <c r="F29" s="63"/>
      <c r="G29" s="63"/>
      <c r="H29" s="63"/>
      <c r="I29" s="63"/>
    </row>
    <row r="30" spans="1:9" x14ac:dyDescent="0.25">
      <c r="A30" s="63" t="s">
        <v>103</v>
      </c>
      <c r="B30" s="63" t="s">
        <v>59</v>
      </c>
      <c r="C30" s="63" t="s">
        <v>135</v>
      </c>
      <c r="D30" s="64"/>
      <c r="E30" s="63"/>
      <c r="F30" s="63"/>
      <c r="G30" s="63"/>
      <c r="H30" s="63"/>
      <c r="I30" s="63"/>
    </row>
    <row r="31" spans="1:9" x14ac:dyDescent="0.25">
      <c r="A31" s="63" t="s">
        <v>104</v>
      </c>
      <c r="B31" s="63" t="s">
        <v>59</v>
      </c>
      <c r="C31" s="63" t="s">
        <v>135</v>
      </c>
      <c r="D31" s="64"/>
      <c r="E31" s="63"/>
      <c r="F31" s="63"/>
      <c r="G31" s="63"/>
      <c r="H31" s="63"/>
      <c r="I31" s="63"/>
    </row>
    <row r="32" spans="1:9" x14ac:dyDescent="0.25">
      <c r="A32" s="63" t="s">
        <v>105</v>
      </c>
      <c r="B32" s="63" t="s">
        <v>59</v>
      </c>
      <c r="C32" s="63" t="s">
        <v>135</v>
      </c>
      <c r="D32" s="64"/>
      <c r="E32" s="63"/>
      <c r="F32" s="63"/>
      <c r="G32" s="63"/>
      <c r="H32" s="63"/>
      <c r="I32" s="63"/>
    </row>
    <row r="33" spans="1:9" x14ac:dyDescent="0.25">
      <c r="A33" s="63" t="s">
        <v>106</v>
      </c>
      <c r="B33" s="63" t="s">
        <v>137</v>
      </c>
      <c r="C33" s="63" t="s">
        <v>135</v>
      </c>
      <c r="D33" s="64"/>
      <c r="E33" s="63"/>
      <c r="F33" s="63"/>
      <c r="G33" s="63"/>
      <c r="H33" s="63"/>
      <c r="I33" s="63"/>
    </row>
    <row r="34" spans="1:9" x14ac:dyDescent="0.25">
      <c r="A34" s="63" t="s">
        <v>107</v>
      </c>
      <c r="B34" s="63" t="s">
        <v>55</v>
      </c>
      <c r="C34" s="63" t="s">
        <v>135</v>
      </c>
      <c r="D34" s="64"/>
      <c r="E34" s="63"/>
      <c r="F34" s="63"/>
      <c r="G34" s="63"/>
      <c r="H34" s="63"/>
      <c r="I34" s="63"/>
    </row>
    <row r="35" spans="1:9" x14ac:dyDescent="0.25">
      <c r="A35" s="63" t="s">
        <v>108</v>
      </c>
      <c r="B35" s="63" t="s">
        <v>59</v>
      </c>
      <c r="C35" s="63" t="s">
        <v>135</v>
      </c>
      <c r="D35" s="64"/>
      <c r="E35" s="63"/>
      <c r="F35" s="63"/>
      <c r="G35" s="63"/>
      <c r="H35" s="63"/>
      <c r="I35" s="63"/>
    </row>
    <row r="36" spans="1:9" x14ac:dyDescent="0.25">
      <c r="A36" s="63" t="s">
        <v>109</v>
      </c>
      <c r="B36" s="63" t="s">
        <v>59</v>
      </c>
      <c r="C36" s="63" t="s">
        <v>135</v>
      </c>
      <c r="D36" s="64"/>
      <c r="E36" s="63"/>
      <c r="F36" s="63"/>
      <c r="G36" s="63"/>
      <c r="H36" s="63"/>
      <c r="I36" s="63"/>
    </row>
    <row r="37" spans="1:9" x14ac:dyDescent="0.25">
      <c r="A37" s="63" t="s">
        <v>110</v>
      </c>
      <c r="B37" s="63" t="s">
        <v>59</v>
      </c>
      <c r="C37" s="63" t="s">
        <v>135</v>
      </c>
      <c r="D37" s="64"/>
      <c r="E37" s="63"/>
      <c r="F37" s="63"/>
      <c r="G37" s="63"/>
      <c r="H37" s="63"/>
      <c r="I37" s="63"/>
    </row>
    <row r="38" spans="1:9" x14ac:dyDescent="0.25">
      <c r="A38" s="63" t="s">
        <v>111</v>
      </c>
      <c r="B38" s="63" t="s">
        <v>59</v>
      </c>
      <c r="C38" s="63" t="s">
        <v>135</v>
      </c>
      <c r="D38" s="64"/>
      <c r="E38" s="63"/>
      <c r="F38" s="63"/>
      <c r="G38" s="63"/>
      <c r="H38" s="63"/>
      <c r="I38" s="63"/>
    </row>
    <row r="39" spans="1:9" x14ac:dyDescent="0.25">
      <c r="A39" s="63" t="s">
        <v>112</v>
      </c>
      <c r="B39" s="63" t="s">
        <v>137</v>
      </c>
      <c r="C39" s="63" t="s">
        <v>135</v>
      </c>
      <c r="D39" s="64"/>
      <c r="E39" s="63"/>
      <c r="F39" s="63"/>
      <c r="G39" s="63"/>
      <c r="H39" s="63"/>
      <c r="I39" s="63"/>
    </row>
    <row r="40" spans="1:9" x14ac:dyDescent="0.25">
      <c r="A40" s="63" t="s">
        <v>113</v>
      </c>
      <c r="B40" s="63" t="s">
        <v>55</v>
      </c>
      <c r="C40" s="63" t="s">
        <v>135</v>
      </c>
      <c r="D40" s="64"/>
      <c r="E40" s="63"/>
      <c r="F40" s="63"/>
      <c r="G40" s="63"/>
      <c r="H40" s="63"/>
      <c r="I40" s="63"/>
    </row>
    <row r="41" spans="1:9" x14ac:dyDescent="0.25">
      <c r="A41" s="63" t="s">
        <v>114</v>
      </c>
      <c r="B41" s="63" t="s">
        <v>59</v>
      </c>
      <c r="C41" s="63" t="s">
        <v>135</v>
      </c>
      <c r="D41" s="64"/>
      <c r="E41" s="63"/>
      <c r="F41" s="63"/>
      <c r="G41" s="63"/>
      <c r="H41" s="63"/>
      <c r="I41" s="63"/>
    </row>
    <row r="42" spans="1:9" x14ac:dyDescent="0.25">
      <c r="A42" s="63" t="s">
        <v>115</v>
      </c>
      <c r="B42" s="63" t="s">
        <v>59</v>
      </c>
      <c r="C42" s="63" t="s">
        <v>135</v>
      </c>
      <c r="D42" s="64"/>
      <c r="E42" s="63"/>
      <c r="F42" s="63"/>
      <c r="G42" s="63"/>
      <c r="H42" s="63"/>
      <c r="I42" s="63"/>
    </row>
    <row r="43" spans="1:9" x14ac:dyDescent="0.25">
      <c r="A43" s="63" t="s">
        <v>116</v>
      </c>
      <c r="B43" s="63" t="s">
        <v>59</v>
      </c>
      <c r="C43" s="63" t="s">
        <v>135</v>
      </c>
      <c r="D43" s="64"/>
      <c r="E43" s="63"/>
      <c r="F43" s="63"/>
      <c r="G43" s="63"/>
      <c r="H43" s="63"/>
      <c r="I43" s="63"/>
    </row>
    <row r="44" spans="1:9" x14ac:dyDescent="0.25">
      <c r="A44" s="63" t="s">
        <v>117</v>
      </c>
      <c r="B44" s="63" t="s">
        <v>59</v>
      </c>
      <c r="C44" s="63" t="s">
        <v>135</v>
      </c>
      <c r="D44" s="64"/>
      <c r="E44" s="63"/>
      <c r="F44" s="63"/>
      <c r="G44" s="63"/>
      <c r="H44" s="63"/>
      <c r="I44" s="63"/>
    </row>
    <row r="45" spans="1:9" x14ac:dyDescent="0.25">
      <c r="A45" s="63" t="s">
        <v>118</v>
      </c>
      <c r="B45" s="63" t="s">
        <v>137</v>
      </c>
      <c r="C45" s="63" t="s">
        <v>135</v>
      </c>
      <c r="D45" s="64"/>
      <c r="E45" s="63"/>
      <c r="F45" s="63"/>
      <c r="G45" s="63"/>
      <c r="H45" s="63"/>
      <c r="I45" s="63"/>
    </row>
    <row r="46" spans="1:9" x14ac:dyDescent="0.25">
      <c r="A46" s="63" t="s">
        <v>119</v>
      </c>
      <c r="B46" s="63" t="s">
        <v>55</v>
      </c>
      <c r="C46" s="63" t="s">
        <v>135</v>
      </c>
      <c r="D46" s="64"/>
      <c r="E46" s="63"/>
      <c r="F46" s="63"/>
      <c r="G46" s="63"/>
      <c r="H46" s="63"/>
      <c r="I46" s="63"/>
    </row>
    <row r="47" spans="1:9" x14ac:dyDescent="0.25">
      <c r="A47" s="63" t="s">
        <v>120</v>
      </c>
      <c r="B47" s="63" t="s">
        <v>59</v>
      </c>
      <c r="C47" s="63" t="s">
        <v>135</v>
      </c>
      <c r="D47" s="64"/>
      <c r="E47" s="63"/>
      <c r="F47" s="63"/>
      <c r="G47" s="63"/>
      <c r="H47" s="63"/>
      <c r="I47" s="63"/>
    </row>
    <row r="48" spans="1:9" x14ac:dyDescent="0.25">
      <c r="A48" s="63" t="s">
        <v>121</v>
      </c>
      <c r="B48" s="63" t="s">
        <v>59</v>
      </c>
      <c r="C48" s="63" t="s">
        <v>135</v>
      </c>
      <c r="D48" s="64"/>
      <c r="E48" s="63"/>
      <c r="F48" s="63"/>
      <c r="G48" s="63"/>
      <c r="H48" s="63"/>
      <c r="I48" s="63"/>
    </row>
    <row r="49" spans="1:9" x14ac:dyDescent="0.25">
      <c r="A49" s="63" t="s">
        <v>122</v>
      </c>
      <c r="B49" s="63" t="s">
        <v>59</v>
      </c>
      <c r="C49" s="63" t="s">
        <v>135</v>
      </c>
      <c r="D49" s="64"/>
      <c r="E49" s="63"/>
      <c r="F49" s="63"/>
      <c r="G49" s="63"/>
      <c r="H49" s="63"/>
      <c r="I49" s="63"/>
    </row>
    <row r="50" spans="1:9" x14ac:dyDescent="0.25">
      <c r="A50" s="63" t="s">
        <v>123</v>
      </c>
      <c r="B50" s="63" t="s">
        <v>59</v>
      </c>
      <c r="C50" s="63" t="s">
        <v>135</v>
      </c>
      <c r="D50" s="64"/>
      <c r="E50" s="63"/>
      <c r="F50" s="63"/>
      <c r="G50" s="63"/>
      <c r="H50" s="63"/>
      <c r="I50" s="63"/>
    </row>
    <row r="51" spans="1:9" x14ac:dyDescent="0.25">
      <c r="A51" s="63" t="s">
        <v>124</v>
      </c>
      <c r="B51" s="63" t="s">
        <v>137</v>
      </c>
      <c r="C51" s="63" t="s">
        <v>135</v>
      </c>
      <c r="D51" s="64"/>
      <c r="E51" s="63"/>
      <c r="F51" s="63"/>
      <c r="G51" s="63"/>
      <c r="H51" s="63"/>
      <c r="I51" s="63"/>
    </row>
    <row r="52" spans="1:9" x14ac:dyDescent="0.25">
      <c r="A52" s="63" t="s">
        <v>125</v>
      </c>
      <c r="B52" s="63" t="s">
        <v>55</v>
      </c>
      <c r="C52" s="63" t="s">
        <v>135</v>
      </c>
      <c r="D52" s="64"/>
      <c r="E52" s="63"/>
      <c r="F52" s="63"/>
      <c r="G52" s="63"/>
      <c r="H52" s="63"/>
      <c r="I52" s="63"/>
    </row>
    <row r="53" spans="1:9" x14ac:dyDescent="0.25">
      <c r="A53" s="63" t="s">
        <v>126</v>
      </c>
      <c r="B53" s="63" t="s">
        <v>59</v>
      </c>
      <c r="C53" s="63" t="s">
        <v>135</v>
      </c>
      <c r="D53" s="64"/>
      <c r="E53" s="63"/>
      <c r="F53" s="63"/>
      <c r="G53" s="63"/>
      <c r="H53" s="63"/>
      <c r="I53" s="63"/>
    </row>
    <row r="54" spans="1:9" x14ac:dyDescent="0.25">
      <c r="A54" s="63" t="s">
        <v>127</v>
      </c>
      <c r="B54" s="63" t="s">
        <v>59</v>
      </c>
      <c r="C54" s="63" t="s">
        <v>135</v>
      </c>
      <c r="D54" s="64"/>
      <c r="E54" s="63"/>
      <c r="F54" s="63"/>
      <c r="G54" s="63"/>
      <c r="H54" s="63"/>
      <c r="I54" s="63"/>
    </row>
    <row r="55" spans="1:9" x14ac:dyDescent="0.25">
      <c r="A55" s="63" t="s">
        <v>128</v>
      </c>
      <c r="B55" s="63" t="s">
        <v>59</v>
      </c>
      <c r="C55" s="63" t="s">
        <v>135</v>
      </c>
      <c r="D55" s="64"/>
      <c r="E55" s="63"/>
      <c r="F55" s="63"/>
      <c r="G55" s="63"/>
      <c r="H55" s="63"/>
      <c r="I55" s="63"/>
    </row>
    <row r="56" spans="1:9" x14ac:dyDescent="0.25">
      <c r="A56" s="63" t="s">
        <v>129</v>
      </c>
      <c r="B56" s="63" t="s">
        <v>59</v>
      </c>
      <c r="C56" s="63" t="s">
        <v>135</v>
      </c>
      <c r="D56" s="64"/>
      <c r="E56" s="63"/>
      <c r="F56" s="63"/>
      <c r="G56" s="63"/>
      <c r="H56" s="63"/>
      <c r="I56" s="63"/>
    </row>
    <row r="57" spans="1:9" x14ac:dyDescent="0.25">
      <c r="A57" s="63" t="s">
        <v>130</v>
      </c>
      <c r="B57" s="63" t="s">
        <v>137</v>
      </c>
      <c r="C57" s="63" t="s">
        <v>135</v>
      </c>
      <c r="D57" s="64"/>
      <c r="E57" s="63"/>
      <c r="F57" s="63"/>
      <c r="G57" s="63"/>
      <c r="H57" s="63"/>
      <c r="I57" s="63"/>
    </row>
    <row r="58" spans="1:9" x14ac:dyDescent="0.25">
      <c r="A58" s="63" t="s">
        <v>131</v>
      </c>
      <c r="B58" s="63" t="s">
        <v>55</v>
      </c>
      <c r="C58" s="63" t="s">
        <v>135</v>
      </c>
      <c r="D58" s="64"/>
      <c r="E58" s="63"/>
      <c r="F58" s="63"/>
      <c r="G58" s="63"/>
      <c r="H58" s="63"/>
      <c r="I58" s="63"/>
    </row>
    <row r="59" spans="1:9" x14ac:dyDescent="0.25">
      <c r="A59" s="63"/>
      <c r="B59" s="63"/>
      <c r="C59" s="63"/>
      <c r="D59" s="64"/>
      <c r="E59" s="63"/>
      <c r="F59" s="63"/>
      <c r="G59" s="63"/>
      <c r="H59" s="63"/>
      <c r="I59" s="63"/>
    </row>
    <row r="60" spans="1:9" x14ac:dyDescent="0.25">
      <c r="A60" s="63"/>
      <c r="B60" s="63"/>
      <c r="C60" s="63"/>
      <c r="D60" s="64"/>
      <c r="E60" s="63"/>
      <c r="F60" s="63"/>
      <c r="G60" s="63"/>
      <c r="H60" s="63"/>
      <c r="I60" s="63"/>
    </row>
    <row r="61" spans="1:9" x14ac:dyDescent="0.25">
      <c r="A61" s="63"/>
      <c r="B61" s="63"/>
      <c r="C61" s="63"/>
      <c r="D61" s="64"/>
      <c r="E61" s="63"/>
      <c r="F61" s="63"/>
      <c r="G61" s="63"/>
      <c r="H61" s="63"/>
      <c r="I61" s="63"/>
    </row>
    <row r="62" spans="1:9" x14ac:dyDescent="0.25">
      <c r="A62" s="63"/>
      <c r="B62" s="63"/>
      <c r="C62" s="63"/>
      <c r="D62" s="64"/>
      <c r="E62" s="63"/>
      <c r="F62" s="63"/>
      <c r="G62" s="63"/>
      <c r="H62" s="63"/>
      <c r="I62" s="63"/>
    </row>
    <row r="63" spans="1:9" x14ac:dyDescent="0.25">
      <c r="A63" s="63"/>
      <c r="B63" s="63"/>
      <c r="C63" s="63"/>
      <c r="D63" s="64"/>
      <c r="E63" s="63"/>
      <c r="F63" s="63"/>
      <c r="G63" s="63"/>
      <c r="H63" s="63"/>
      <c r="I63" s="63"/>
    </row>
    <row r="64" spans="1:9" x14ac:dyDescent="0.25">
      <c r="A64" s="63"/>
      <c r="B64" s="63"/>
      <c r="C64" s="63"/>
      <c r="D64" s="63"/>
      <c r="E64" s="63"/>
      <c r="F64" s="63"/>
      <c r="G64" s="63"/>
      <c r="H64" s="63"/>
      <c r="I64" s="63"/>
    </row>
    <row r="65" spans="1:9" x14ac:dyDescent="0.25">
      <c r="A65" s="63"/>
      <c r="B65" s="63"/>
      <c r="C65" s="63"/>
      <c r="D65" s="63"/>
      <c r="E65" s="63"/>
      <c r="F65" s="63"/>
      <c r="G65" s="63"/>
      <c r="H65" s="63"/>
      <c r="I65" s="6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Planning</vt:lpstr>
      <vt:lpstr>Geometry</vt:lpstr>
      <vt:lpstr>Systems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Yiyuan Jia</dc:creator>
  <cp:lastModifiedBy>Yiyuan Jia</cp:lastModifiedBy>
  <dcterms:created xsi:type="dcterms:W3CDTF">2017-12-28T21:51:37Z</dcterms:created>
  <dcterms:modified xsi:type="dcterms:W3CDTF">2018-03-13T22:21:51Z</dcterms:modified>
</cp:coreProperties>
</file>